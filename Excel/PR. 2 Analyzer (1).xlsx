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675" firstSheet="2" activeTab="5"/>
  </bookViews>
  <sheets>
    <sheet name="Project Instructions" sheetId="1" r:id="rId1"/>
    <sheet name="Sales distribution " sheetId="4" r:id="rId2"/>
    <sheet name="Reginal Distribution" sheetId="6" r:id="rId3"/>
    <sheet name="Reginal Distribution (2)" sheetId="7" r:id="rId4"/>
    <sheet name="Dataset" sheetId="2" r:id="rId5"/>
    <sheet name="Dashboard" sheetId="5" r:id="rId6"/>
  </sheets>
  <definedNames>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<sst xmlns="http://schemas.openxmlformats.org/spreadsheetml/2006/main" count="865" uniqueCount="82">
  <si>
    <t>PR. 2 Analyzer</t>
  </si>
  <si>
    <r>
      <rPr>
        <b/>
        <sz val="11"/>
        <color theme="1"/>
        <rFont val="Calibri"/>
        <charset val="134"/>
      </rPr>
      <t xml:space="preserve">Topics:
</t>
    </r>
    <r>
      <rPr>
        <sz val="11"/>
        <color theme="1"/>
        <rFont val="Calibri"/>
        <charset val="134"/>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charset val="134"/>
      </rPr>
      <t>Main Tasks:</t>
    </r>
    <r>
      <rPr>
        <sz val="11"/>
        <color rgb="FF38761D"/>
        <rFont val="Calibri"/>
        <charset val="134"/>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charset val="134"/>
      </rPr>
      <t xml:space="preserve">
</t>
    </r>
    <r>
      <rPr>
        <b/>
        <sz val="11"/>
        <color theme="1"/>
        <rFont val="Calibri"/>
        <charset val="134"/>
      </rPr>
      <t xml:space="preserve">Deliverable:
</t>
    </r>
    <r>
      <rPr>
        <sz val="11"/>
        <color theme="1"/>
        <rFont val="Calibri"/>
        <charset val="134"/>
      </rPr>
      <t>Complete the given worksheet by applying the required formulas in respective sheets.</t>
    </r>
  </si>
  <si>
    <t>Product_Category</t>
  </si>
  <si>
    <t>Sum of Sales</t>
  </si>
  <si>
    <t>Books</t>
  </si>
  <si>
    <t>Clothing</t>
  </si>
  <si>
    <t>Electronics</t>
  </si>
  <si>
    <t>Furniture</t>
  </si>
  <si>
    <t>Office Supplies</t>
  </si>
  <si>
    <t>Grand Total</t>
  </si>
  <si>
    <t>Region</t>
  </si>
  <si>
    <t>West</t>
  </si>
  <si>
    <t>North</t>
  </si>
  <si>
    <t>Central</t>
  </si>
  <si>
    <t>South</t>
  </si>
  <si>
    <t>East</t>
  </si>
  <si>
    <t>Order_Date</t>
  </si>
  <si>
    <t>Customer_ID</t>
  </si>
  <si>
    <t>Customer_Name</t>
  </si>
  <si>
    <t>Sales</t>
  </si>
  <si>
    <t>Quantity</t>
  </si>
  <si>
    <t>Discount</t>
  </si>
  <si>
    <t>Profit</t>
  </si>
  <si>
    <t>total sales per customer</t>
  </si>
  <si>
    <t>cost</t>
  </si>
  <si>
    <t>CUST001</t>
  </si>
  <si>
    <t>Linda Wilson</t>
  </si>
  <si>
    <t>Lisa Thomas</t>
  </si>
  <si>
    <t>Mary Jackson</t>
  </si>
  <si>
    <t>CUST002</t>
  </si>
  <si>
    <t>CUST003</t>
  </si>
  <si>
    <t>Sarah Anderson</t>
  </si>
  <si>
    <t>CUST004</t>
  </si>
  <si>
    <t>Michael Anderson</t>
  </si>
  <si>
    <t>CUST005</t>
  </si>
  <si>
    <t>David Anderson</t>
  </si>
  <si>
    <t>CUST006</t>
  </si>
  <si>
    <t>Lisa Davis</t>
  </si>
  <si>
    <t>CUST007</t>
  </si>
  <si>
    <t>Mary Davis</t>
  </si>
  <si>
    <t>CUST008</t>
  </si>
  <si>
    <t>Linda Brown</t>
  </si>
  <si>
    <t>CUST009</t>
  </si>
  <si>
    <t>Emma Wilson</t>
  </si>
  <si>
    <t>CUST010</t>
  </si>
  <si>
    <t>CUST011</t>
  </si>
  <si>
    <t>CUST012</t>
  </si>
  <si>
    <t>Emma Davis</t>
  </si>
  <si>
    <t>CUST013</t>
  </si>
  <si>
    <t>James Davis</t>
  </si>
  <si>
    <t>CUST014</t>
  </si>
  <si>
    <t>James Wilson</t>
  </si>
  <si>
    <t>CUST015</t>
  </si>
  <si>
    <t>CUST016</t>
  </si>
  <si>
    <t>CUST017</t>
  </si>
  <si>
    <t>CUST018</t>
  </si>
  <si>
    <t>Linda Moore</t>
  </si>
  <si>
    <t>CUST019</t>
  </si>
  <si>
    <t>CUST020</t>
  </si>
  <si>
    <t>CUST021</t>
  </si>
  <si>
    <t>CUST022</t>
  </si>
  <si>
    <t>Sarah Davis</t>
  </si>
  <si>
    <t>CUST023</t>
  </si>
  <si>
    <t>James Taylor</t>
  </si>
  <si>
    <t>CUST024</t>
  </si>
  <si>
    <t>CUST025</t>
  </si>
  <si>
    <t>CUST026</t>
  </si>
  <si>
    <t>CUST027</t>
  </si>
  <si>
    <t>CUST028</t>
  </si>
  <si>
    <t>Robert Anderson</t>
  </si>
  <si>
    <t>CUST029</t>
  </si>
  <si>
    <t>CUST030</t>
  </si>
  <si>
    <t>David Smith</t>
  </si>
  <si>
    <t>Linda Taylor</t>
  </si>
  <si>
    <t>Linda Jackson</t>
  </si>
  <si>
    <t>David Brown</t>
  </si>
  <si>
    <t>Emma Taylor</t>
  </si>
  <si>
    <t>Mary Wilson</t>
  </si>
  <si>
    <t>John Brown</t>
  </si>
  <si>
    <t>David Davis</t>
  </si>
  <si>
    <t>David Thomas</t>
  </si>
  <si>
    <t>Linda Davis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</si>
</sst>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
  </numFmts>
  <fonts count="26">
    <font>
      <sz val="11"/>
      <color theme="1"/>
      <name val="Calibri"/>
      <charset val="134"/>
      <scheme val="minor"/>
    </font>
    <font>
      <b/>
      <sz val="11"/>
      <color theme="1"/>
      <name val="Calibri"/>
      <charset val="134"/>
      <scheme val="minor"/>
    </font>
    <font>
      <b/>
      <sz val="11"/>
      <color theme="0"/>
      <name val="Calibri"/>
      <charset val="134"/>
      <scheme val="minor"/>
    </font>
    <font>
      <b/>
      <sz val="11"/>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38761D"/>
      <name val="Calibri"/>
      <charset val="134"/>
    </font>
    <font>
      <sz val="11"/>
      <color rgb="FF38761D"/>
      <name val="Calibri"/>
      <charset val="134"/>
    </font>
  </fonts>
  <fills count="36">
    <fill>
      <patternFill patternType="none"/>
    </fill>
    <fill>
      <patternFill patternType="gray125"/>
    </fill>
    <fill>
      <patternFill patternType="solid">
        <fgColor theme="4" tint="0.799981688894314"/>
        <bgColor theme="4" tint="0.799981688894314"/>
      </patternFill>
    </fill>
    <fill>
      <patternFill patternType="solid">
        <fgColor theme="4"/>
        <bgColor theme="4"/>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theme="4"/>
      </left>
      <right/>
      <top style="thin">
        <color theme="4" tint="0.399975585192419"/>
      </top>
      <bottom style="thin">
        <color theme="4" tint="0.399975585192419"/>
      </bottom>
      <diagonal/>
    </border>
    <border>
      <left/>
      <right/>
      <top style="thin">
        <color theme="4"/>
      </top>
      <bottom style="thin">
        <color theme="4" tint="0.399975585192419"/>
      </bottom>
      <diagonal/>
    </border>
    <border>
      <left/>
      <right/>
      <top style="thin">
        <color theme="4" tint="0.399975585192419"/>
      </top>
      <bottom style="thin">
        <color theme="4" tint="0.399975585192419"/>
      </bottom>
      <diagonal/>
    </border>
    <border>
      <left/>
      <right/>
      <top style="thin">
        <color theme="4" tint="0.399975585192419"/>
      </top>
      <bottom style="thin">
        <color theme="4"/>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6" borderId="9" applyNumberFormat="0" applyAlignment="0" applyProtection="0">
      <alignment vertical="center"/>
    </xf>
    <xf numFmtId="0" fontId="14" fillId="7" borderId="10" applyNumberFormat="0" applyAlignment="0" applyProtection="0">
      <alignment vertical="center"/>
    </xf>
    <xf numFmtId="0" fontId="15" fillId="7" borderId="9" applyNumberFormat="0" applyAlignment="0" applyProtection="0">
      <alignment vertical="center"/>
    </xf>
    <xf numFmtId="0" fontId="16" fillId="8"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4">
    <xf numFmtId="0" fontId="0" fillId="0" borderId="0" xfId="0" applyFont="1" applyAlignment="1"/>
    <xf numFmtId="178" fontId="0" fillId="0" borderId="0" xfId="0" applyNumberFormat="1" applyFont="1" applyAlignment="1"/>
    <xf numFmtId="0" fontId="1" fillId="0" borderId="0" xfId="0" applyFont="1" applyAlignment="1"/>
    <xf numFmtId="178" fontId="1" fillId="0" borderId="0" xfId="0" applyNumberFormat="1" applyFont="1" applyAlignment="1"/>
    <xf numFmtId="0" fontId="1" fillId="0" borderId="0" xfId="0" applyFont="1"/>
    <xf numFmtId="0" fontId="0" fillId="0" borderId="0" xfId="0" applyNumberFormat="1" applyFont="1" applyAlignment="1"/>
    <xf numFmtId="0" fontId="0" fillId="2" borderId="1" xfId="0" applyFont="1" applyFill="1" applyBorder="1" applyAlignment="1"/>
    <xf numFmtId="0" fontId="2" fillId="3" borderId="2" xfId="0" applyFont="1" applyFill="1" applyBorder="1" applyAlignment="1"/>
    <xf numFmtId="0" fontId="0" fillId="2" borderId="3" xfId="0" applyFont="1" applyFill="1" applyBorder="1" applyAlignment="1"/>
    <xf numFmtId="0" fontId="0" fillId="0" borderId="3" xfId="0" applyFont="1" applyBorder="1" applyAlignment="1"/>
    <xf numFmtId="0" fontId="0" fillId="0" borderId="4" xfId="0" applyFont="1" applyBorder="1" applyAlignment="1"/>
    <xf numFmtId="0" fontId="3" fillId="4" borderId="5" xfId="0" applyFont="1" applyFill="1" applyBorder="1" applyAlignment="1">
      <alignment horizontal="center"/>
    </xf>
    <xf numFmtId="0" fontId="4" fillId="0" borderId="0" xfId="0" applyFont="1"/>
    <xf numFmtId="0" fontId="3" fillId="0" borderId="5"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numFmt numFmtId="178" formatCode="mm/dd/yy;@"/>
    </dxf>
    <dxf>
      <font>
        <name val="Calibri"/>
        <scheme val="none"/>
        <charset val="134"/>
        <family val="0"/>
        <b val="0"/>
        <i val="0"/>
        <strike val="0"/>
        <u val="none"/>
        <sz val="11"/>
        <color theme="1"/>
      </font>
    </dxf>
    <dxf>
      <numFmt numFmtId="0" formatCode="Genera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microsoft.com/office/2007/relationships/slicerCache" Target="slicerCaches/slicerCach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(1).xlsx]Sales distribution !PivotTable2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Sales Distribution</a:t>
            </a:r>
          </a:p>
        </c:rich>
      </c:tx>
      <c:layout/>
      <c:overlay val="0"/>
      <c:spPr>
        <a:noFill/>
        <a:ln>
          <a:noFill/>
        </a:ln>
        <a:effectLst/>
      </c:spPr>
    </c:title>
    <c:autoTitleDeleted val="0"/>
    <c:plotArea>
      <c:layout/>
      <c:pieChart>
        <c:varyColors val="1"/>
        <c:ser>
          <c:idx val="0"/>
          <c:order val="0"/>
          <c:tx>
            <c:strRef>
              <c:f>'Sales distribution '!$B$3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distribution '!$A$4:$A$9</c:f>
              <c:strCache>
                <c:ptCount val="5"/>
                <c:pt idx="0">
                  <c:v>Books</c:v>
                </c:pt>
                <c:pt idx="1">
                  <c:v>Clothing</c:v>
                </c:pt>
                <c:pt idx="2">
                  <c:v>Electronics</c:v>
                </c:pt>
                <c:pt idx="3">
                  <c:v>Furniture</c:v>
                </c:pt>
                <c:pt idx="4">
                  <c:v>Office Supplies</c:v>
                </c:pt>
              </c:strCache>
            </c:strRef>
          </c:cat>
          <c:val>
            <c:numRef>
              <c:f>'Sales distribution '!$B$4:$B$9</c:f>
              <c:numCache>
                <c:formatCode>General</c:formatCode>
                <c:ptCount val="5"/>
                <c:pt idx="0">
                  <c:v>47002.46</c:v>
                </c:pt>
                <c:pt idx="1">
                  <c:v>41927.59</c:v>
                </c:pt>
                <c:pt idx="2">
                  <c:v>41044</c:v>
                </c:pt>
                <c:pt idx="3">
                  <c:v>36612.89</c:v>
                </c:pt>
                <c:pt idx="4">
                  <c:v>28630.82</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6e0e797-686d-4167-8b2d-16398c737e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(1).xlsx]Reginal Distribution!PivotTable2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Regional Distribution</a:t>
            </a:r>
          </a:p>
        </c:rich>
      </c:tx>
      <c:layout/>
      <c:overlay val="0"/>
      <c:spPr>
        <a:noFill/>
        <a:ln>
          <a:noFill/>
        </a:ln>
        <a:effectLst/>
      </c:spPr>
    </c:title>
    <c:autoTitleDeleted val="0"/>
    <c:plotArea>
      <c:layout/>
      <c:pieChart>
        <c:varyColors val="1"/>
        <c:ser>
          <c:idx val="0"/>
          <c:order val="0"/>
          <c:tx>
            <c:strRef>
              <c:f>'Reginal Distribution'!$B$3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'Reginal Distribution'!$A$4:$A$9</c:f>
              <c:strCache>
                <c:ptCount val="5"/>
                <c:pt idx="0">
                  <c:v>West</c:v>
                </c:pt>
                <c:pt idx="1">
                  <c:v>North</c:v>
                </c:pt>
                <c:pt idx="2">
                  <c:v>Central</c:v>
                </c:pt>
                <c:pt idx="3">
                  <c:v>South</c:v>
                </c:pt>
                <c:pt idx="4">
                  <c:v>East</c:v>
                </c:pt>
              </c:strCache>
            </c:strRef>
          </c:cat>
          <c:val>
            <c:numRef>
              <c:f>'Reginal Distribution'!$B$4:$B$9</c:f>
              <c:numCache>
                <c:formatCode>General</c:formatCode>
                <c:ptCount val="5"/>
                <c:pt idx="0">
                  <c:v>44083.58</c:v>
                </c:pt>
                <c:pt idx="1">
                  <c:v>34975.42</c:v>
                </c:pt>
                <c:pt idx="2">
                  <c:v>43468.33</c:v>
                </c:pt>
                <c:pt idx="3">
                  <c:v>40248.79</c:v>
                </c:pt>
                <c:pt idx="4">
                  <c:v>32441.64</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6e0e797-686d-4167-8b2d-16398c737e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(1).xlsx]Reginal Distribution (2)!PivotTable2</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'Reginal Distribution (2)'!$B$3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dPt>
          <c:dPt>
            <c:idx val="1"/>
            <c:marker>
              <c:symbol val="none"/>
            </c:marker>
            <c:bubble3D val="0"/>
            <c:spPr>
              <a:ln w="28575" cap="rnd">
                <a:solidFill>
                  <a:schemeClr val="accent1"/>
                </a:solidFill>
                <a:round/>
              </a:ln>
              <a:effectLst/>
            </c:spPr>
          </c:dPt>
          <c:dPt>
            <c:idx val="2"/>
            <c:marker>
              <c:symbol val="none"/>
            </c:marker>
            <c:bubble3D val="0"/>
            <c:spPr>
              <a:ln w="28575" cap="rnd">
                <a:solidFill>
                  <a:schemeClr val="accent1"/>
                </a:solidFill>
                <a:round/>
              </a:ln>
              <a:effectLst/>
            </c:spPr>
          </c:dPt>
          <c:dPt>
            <c:idx val="3"/>
            <c:marker>
              <c:symbol val="none"/>
            </c:marker>
            <c:bubble3D val="0"/>
            <c:spPr>
              <a:ln w="28575" cap="rnd">
                <a:solidFill>
                  <a:schemeClr val="accent1"/>
                </a:solidFill>
                <a:round/>
              </a:ln>
              <a:effectLst/>
            </c:spPr>
          </c:dPt>
          <c:dPt>
            <c:idx val="4"/>
            <c:marker>
              <c:symbol val="none"/>
            </c:marker>
            <c:bubble3D val="0"/>
            <c:spPr>
              <a:ln w="28575" cap="rnd">
                <a:solidFill>
                  <a:schemeClr val="accent1"/>
                </a:solidFill>
                <a:round/>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'Reginal Distribution (2)'!$A$4:$A$152</c:f>
              <c:strCache>
                <c:ptCount val="148"/>
                <c:pt idx="0">
                  <c:v>04/16/24</c:v>
                </c:pt>
                <c:pt idx="1">
                  <c:v>04/29/24</c:v>
                </c:pt>
                <c:pt idx="2">
                  <c:v>05/16/24</c:v>
                </c:pt>
                <c:pt idx="3">
                  <c:v>11/12/24</c:v>
                </c:pt>
                <c:pt idx="4">
                  <c:v>11/29/24</c:v>
                </c:pt>
                <c:pt idx="5">
                  <c:v>12/14/24</c:v>
                </c:pt>
                <c:pt idx="6">
                  <c:v>12/25/24</c:v>
                </c:pt>
                <c:pt idx="7">
                  <c:v>06/23/24</c:v>
                </c:pt>
                <c:pt idx="8">
                  <c:v>07/15/24</c:v>
                </c:pt>
                <c:pt idx="9">
                  <c:v>11/19/24</c:v>
                </c:pt>
                <c:pt idx="10">
                  <c:v>12/12/24</c:v>
                </c:pt>
                <c:pt idx="11">
                  <c:v>02/05/25</c:v>
                </c:pt>
                <c:pt idx="12">
                  <c:v>02/24/25</c:v>
                </c:pt>
                <c:pt idx="13">
                  <c:v>06/30/24</c:v>
                </c:pt>
                <c:pt idx="14">
                  <c:v>07/08/24</c:v>
                </c:pt>
                <c:pt idx="15">
                  <c:v>07/14/24</c:v>
                </c:pt>
                <c:pt idx="16">
                  <c:v>09/09/24</c:v>
                </c:pt>
                <c:pt idx="17">
                  <c:v>09/18/24</c:v>
                </c:pt>
                <c:pt idx="18">
                  <c:v>09/29/24</c:v>
                </c:pt>
                <c:pt idx="19">
                  <c:v>10/28/24</c:v>
                </c:pt>
                <c:pt idx="20">
                  <c:v>03/10/25</c:v>
                </c:pt>
                <c:pt idx="21">
                  <c:v>08/18/24</c:v>
                </c:pt>
                <c:pt idx="22">
                  <c:v>09/12/24</c:v>
                </c:pt>
                <c:pt idx="23">
                  <c:v>11/17/24</c:v>
                </c:pt>
                <c:pt idx="24">
                  <c:v>02/10/25</c:v>
                </c:pt>
                <c:pt idx="25">
                  <c:v>02/15/25</c:v>
                </c:pt>
                <c:pt idx="26">
                  <c:v>03/02/25</c:v>
                </c:pt>
                <c:pt idx="27">
                  <c:v>04/14/24</c:v>
                </c:pt>
                <c:pt idx="28">
                  <c:v>04/28/24</c:v>
                </c:pt>
                <c:pt idx="29">
                  <c:v>06/02/24</c:v>
                </c:pt>
                <c:pt idx="30">
                  <c:v>06/25/24</c:v>
                </c:pt>
                <c:pt idx="31">
                  <c:v>08/15/24</c:v>
                </c:pt>
                <c:pt idx="32">
                  <c:v>09/01/24</c:v>
                </c:pt>
                <c:pt idx="33">
                  <c:v>04/30/24</c:v>
                </c:pt>
                <c:pt idx="34">
                  <c:v>10/19/24</c:v>
                </c:pt>
                <c:pt idx="35">
                  <c:v>04/24/24</c:v>
                </c:pt>
                <c:pt idx="36">
                  <c:v>05/03/24</c:v>
                </c:pt>
                <c:pt idx="37">
                  <c:v>05/10/24</c:v>
                </c:pt>
                <c:pt idx="38">
                  <c:v>06/18/24</c:v>
                </c:pt>
                <c:pt idx="39">
                  <c:v>08/30/24</c:v>
                </c:pt>
                <c:pt idx="40">
                  <c:v>09/16/24</c:v>
                </c:pt>
                <c:pt idx="41">
                  <c:v>11/30/24</c:v>
                </c:pt>
                <c:pt idx="42">
                  <c:v>03/18/25</c:v>
                </c:pt>
                <c:pt idx="43">
                  <c:v>03/27/25</c:v>
                </c:pt>
                <c:pt idx="44">
                  <c:v>05/22/24</c:v>
                </c:pt>
                <c:pt idx="45">
                  <c:v>06/14/24</c:v>
                </c:pt>
                <c:pt idx="46">
                  <c:v>07/29/24</c:v>
                </c:pt>
                <c:pt idx="47">
                  <c:v>10/02/24</c:v>
                </c:pt>
                <c:pt idx="48">
                  <c:v>10/12/24</c:v>
                </c:pt>
                <c:pt idx="49">
                  <c:v>11/03/24</c:v>
                </c:pt>
                <c:pt idx="50">
                  <c:v>01/17/25</c:v>
                </c:pt>
                <c:pt idx="51">
                  <c:v>03/29/25</c:v>
                </c:pt>
                <c:pt idx="52">
                  <c:v>04/19/24</c:v>
                </c:pt>
                <c:pt idx="53">
                  <c:v>10/20/24</c:v>
                </c:pt>
                <c:pt idx="54">
                  <c:v>02/21/25</c:v>
                </c:pt>
                <c:pt idx="55">
                  <c:v>03/20/25</c:v>
                </c:pt>
                <c:pt idx="56">
                  <c:v>03/26/25</c:v>
                </c:pt>
                <c:pt idx="57">
                  <c:v>05/06/24</c:v>
                </c:pt>
                <c:pt idx="58">
                  <c:v>07/06/24</c:v>
                </c:pt>
                <c:pt idx="59">
                  <c:v>01/06/25</c:v>
                </c:pt>
                <c:pt idx="60">
                  <c:v>04/05/25</c:v>
                </c:pt>
                <c:pt idx="61">
                  <c:v>06/07/24</c:v>
                </c:pt>
                <c:pt idx="62">
                  <c:v>11/20/24</c:v>
                </c:pt>
                <c:pt idx="63">
                  <c:v>01/01/25</c:v>
                </c:pt>
                <c:pt idx="64">
                  <c:v>01/02/25</c:v>
                </c:pt>
                <c:pt idx="65">
                  <c:v>04/11/24</c:v>
                </c:pt>
                <c:pt idx="66">
                  <c:v>05/17/24</c:v>
                </c:pt>
                <c:pt idx="67">
                  <c:v>08/05/24</c:v>
                </c:pt>
                <c:pt idx="68">
                  <c:v>08/09/24</c:v>
                </c:pt>
                <c:pt idx="69">
                  <c:v>10/05/24</c:v>
                </c:pt>
                <c:pt idx="70">
                  <c:v>10/30/24</c:v>
                </c:pt>
                <c:pt idx="71">
                  <c:v>02/19/25</c:v>
                </c:pt>
                <c:pt idx="72">
                  <c:v>09/17/24</c:v>
                </c:pt>
                <c:pt idx="73">
                  <c:v>11/01/24</c:v>
                </c:pt>
                <c:pt idx="74">
                  <c:v>01/10/25</c:v>
                </c:pt>
                <c:pt idx="75">
                  <c:v>02/25/25</c:v>
                </c:pt>
                <c:pt idx="76">
                  <c:v>04/20/24</c:v>
                </c:pt>
                <c:pt idx="77">
                  <c:v>04/22/24</c:v>
                </c:pt>
                <c:pt idx="78">
                  <c:v>11/26/24</c:v>
                </c:pt>
                <c:pt idx="79">
                  <c:v>03/09/25</c:v>
                </c:pt>
                <c:pt idx="80">
                  <c:v>03/30/25</c:v>
                </c:pt>
                <c:pt idx="81">
                  <c:v>06/20/24</c:v>
                </c:pt>
                <c:pt idx="82">
                  <c:v>10/15/24</c:v>
                </c:pt>
                <c:pt idx="83">
                  <c:v>12/04/24</c:v>
                </c:pt>
                <c:pt idx="84">
                  <c:v>12/05/24</c:v>
                </c:pt>
                <c:pt idx="85">
                  <c:v>01/12/25</c:v>
                </c:pt>
                <c:pt idx="86">
                  <c:v>01/13/25</c:v>
                </c:pt>
                <c:pt idx="87">
                  <c:v>01/16/25</c:v>
                </c:pt>
                <c:pt idx="88">
                  <c:v>02/04/25</c:v>
                </c:pt>
                <c:pt idx="89">
                  <c:v>05/23/24</c:v>
                </c:pt>
                <c:pt idx="90">
                  <c:v>09/30/24</c:v>
                </c:pt>
                <c:pt idx="91">
                  <c:v>01/03/25</c:v>
                </c:pt>
                <c:pt idx="92">
                  <c:v>04/07/25</c:v>
                </c:pt>
                <c:pt idx="93">
                  <c:v>06/06/24</c:v>
                </c:pt>
                <c:pt idx="94">
                  <c:v>03/01/25</c:v>
                </c:pt>
                <c:pt idx="95">
                  <c:v>09/22/24</c:v>
                </c:pt>
                <c:pt idx="96">
                  <c:v>11/28/24</c:v>
                </c:pt>
                <c:pt idx="97">
                  <c:v>01/21/25</c:v>
                </c:pt>
                <c:pt idx="98">
                  <c:v>02/27/25</c:v>
                </c:pt>
                <c:pt idx="99">
                  <c:v>04/10/24</c:v>
                </c:pt>
                <c:pt idx="100">
                  <c:v>05/04/24</c:v>
                </c:pt>
                <c:pt idx="101">
                  <c:v>10/16/24</c:v>
                </c:pt>
                <c:pt idx="102">
                  <c:v>07/31/24</c:v>
                </c:pt>
                <c:pt idx="103">
                  <c:v>09/23/24</c:v>
                </c:pt>
                <c:pt idx="104">
                  <c:v>06/05/24</c:v>
                </c:pt>
                <c:pt idx="105">
                  <c:v>06/08/24</c:v>
                </c:pt>
                <c:pt idx="106">
                  <c:v>07/05/24</c:v>
                </c:pt>
                <c:pt idx="107">
                  <c:v>07/21/24</c:v>
                </c:pt>
                <c:pt idx="108">
                  <c:v>09/24/24</c:v>
                </c:pt>
                <c:pt idx="109">
                  <c:v>03/17/25</c:v>
                </c:pt>
                <c:pt idx="110">
                  <c:v>09/14/24</c:v>
                </c:pt>
                <c:pt idx="111">
                  <c:v>12/24/24</c:v>
                </c:pt>
                <c:pt idx="112">
                  <c:v>12/30/24</c:v>
                </c:pt>
                <c:pt idx="113">
                  <c:v>06/04/24</c:v>
                </c:pt>
                <c:pt idx="114">
                  <c:v>09/11/24</c:v>
                </c:pt>
                <c:pt idx="115">
                  <c:v>03/22/25</c:v>
                </c:pt>
                <c:pt idx="116">
                  <c:v>08/08/24</c:v>
                </c:pt>
                <c:pt idx="117">
                  <c:v>10/17/24</c:v>
                </c:pt>
                <c:pt idx="118">
                  <c:v>01/20/25</c:v>
                </c:pt>
                <c:pt idx="119">
                  <c:v>02/07/25</c:v>
                </c:pt>
                <c:pt idx="120">
                  <c:v>05/15/24</c:v>
                </c:pt>
                <c:pt idx="121">
                  <c:v>10/10/24</c:v>
                </c:pt>
                <c:pt idx="122">
                  <c:v>11/09/24</c:v>
                </c:pt>
                <c:pt idx="123">
                  <c:v>11/16/24</c:v>
                </c:pt>
                <c:pt idx="124">
                  <c:v>05/02/24</c:v>
                </c:pt>
                <c:pt idx="125">
                  <c:v>08/19/24</c:v>
                </c:pt>
                <c:pt idx="126">
                  <c:v>12/20/24</c:v>
                </c:pt>
                <c:pt idx="127">
                  <c:v>12/21/24</c:v>
                </c:pt>
                <c:pt idx="128">
                  <c:v>02/20/25</c:v>
                </c:pt>
                <c:pt idx="129">
                  <c:v>05/14/24</c:v>
                </c:pt>
                <c:pt idx="130">
                  <c:v>11/15/24</c:v>
                </c:pt>
                <c:pt idx="131">
                  <c:v>02/17/25</c:v>
                </c:pt>
                <c:pt idx="132">
                  <c:v>03/05/25</c:v>
                </c:pt>
                <c:pt idx="133">
                  <c:v>03/08/25</c:v>
                </c:pt>
                <c:pt idx="134">
                  <c:v>04/02/25</c:v>
                </c:pt>
                <c:pt idx="135">
                  <c:v>04/27/24</c:v>
                </c:pt>
                <c:pt idx="136">
                  <c:v>06/28/24</c:v>
                </c:pt>
                <c:pt idx="137">
                  <c:v>07/09/24</c:v>
                </c:pt>
                <c:pt idx="138">
                  <c:v>03/11/25</c:v>
                </c:pt>
                <c:pt idx="139">
                  <c:v>03/25/25</c:v>
                </c:pt>
                <c:pt idx="140">
                  <c:v>04/15/24</c:v>
                </c:pt>
                <c:pt idx="141">
                  <c:v>05/08/24</c:v>
                </c:pt>
                <c:pt idx="142">
                  <c:v>06/21/24</c:v>
                </c:pt>
                <c:pt idx="143">
                  <c:v>06/27/24</c:v>
                </c:pt>
                <c:pt idx="144">
                  <c:v>07/30/24</c:v>
                </c:pt>
                <c:pt idx="145">
                  <c:v>08/22/24</c:v>
                </c:pt>
                <c:pt idx="146">
                  <c:v>01/27/25</c:v>
                </c:pt>
                <c:pt idx="147">
                  <c:v>02/02/25</c:v>
                </c:pt>
              </c:strCache>
            </c:strRef>
          </c:cat>
          <c:val>
            <c:numRef>
              <c:f>'Reginal Distribution (2)'!$B$4:$B$152</c:f>
              <c:numCache>
                <c:formatCode>General</c:formatCode>
                <c:ptCount val="148"/>
                <c:pt idx="0">
                  <c:v>2283.17</c:v>
                </c:pt>
                <c:pt idx="1">
                  <c:v>1514.28</c:v>
                </c:pt>
                <c:pt idx="2">
                  <c:v>1876.93</c:v>
                </c:pt>
                <c:pt idx="3">
                  <c:v>1077.92</c:v>
                </c:pt>
                <c:pt idx="4">
                  <c:v>894.55</c:v>
                </c:pt>
                <c:pt idx="5">
                  <c:v>2921.05</c:v>
                </c:pt>
                <c:pt idx="6">
                  <c:v>1926.08</c:v>
                </c:pt>
                <c:pt idx="7">
                  <c:v>942.9</c:v>
                </c:pt>
                <c:pt idx="8">
                  <c:v>2247.78</c:v>
                </c:pt>
                <c:pt idx="9">
                  <c:v>3680.1</c:v>
                </c:pt>
                <c:pt idx="10">
                  <c:v>806.03</c:v>
                </c:pt>
                <c:pt idx="11">
                  <c:v>827.25</c:v>
                </c:pt>
                <c:pt idx="12">
                  <c:v>2322.5</c:v>
                </c:pt>
                <c:pt idx="13">
                  <c:v>2609.18</c:v>
                </c:pt>
                <c:pt idx="14">
                  <c:v>1939.24</c:v>
                </c:pt>
                <c:pt idx="15">
                  <c:v>1034.7</c:v>
                </c:pt>
                <c:pt idx="16">
                  <c:v>2504.76</c:v>
                </c:pt>
                <c:pt idx="17">
                  <c:v>1158.94</c:v>
                </c:pt>
                <c:pt idx="18">
                  <c:v>1729.12</c:v>
                </c:pt>
                <c:pt idx="19">
                  <c:v>661.09</c:v>
                </c:pt>
                <c:pt idx="20">
                  <c:v>438.76</c:v>
                </c:pt>
                <c:pt idx="21">
                  <c:v>518.07</c:v>
                </c:pt>
                <c:pt idx="22">
                  <c:v>1443.98</c:v>
                </c:pt>
                <c:pt idx="23">
                  <c:v>2702.62</c:v>
                </c:pt>
                <c:pt idx="24">
                  <c:v>1311.26</c:v>
                </c:pt>
                <c:pt idx="25">
                  <c:v>573.32</c:v>
                </c:pt>
                <c:pt idx="26">
                  <c:v>1099.69</c:v>
                </c:pt>
                <c:pt idx="27">
                  <c:v>1474.27</c:v>
                </c:pt>
                <c:pt idx="28">
                  <c:v>1502.93</c:v>
                </c:pt>
                <c:pt idx="29">
                  <c:v>1151.21</c:v>
                </c:pt>
                <c:pt idx="30">
                  <c:v>1737.84</c:v>
                </c:pt>
                <c:pt idx="31">
                  <c:v>1261.34</c:v>
                </c:pt>
                <c:pt idx="32">
                  <c:v>1860.76</c:v>
                </c:pt>
                <c:pt idx="33">
                  <c:v>1506.14</c:v>
                </c:pt>
                <c:pt idx="34">
                  <c:v>1891.18</c:v>
                </c:pt>
                <c:pt idx="35">
                  <c:v>2013.86</c:v>
                </c:pt>
                <c:pt idx="36">
                  <c:v>953.3</c:v>
                </c:pt>
                <c:pt idx="37">
                  <c:v>939.09</c:v>
                </c:pt>
                <c:pt idx="38">
                  <c:v>1021.47</c:v>
                </c:pt>
                <c:pt idx="39">
                  <c:v>1823.4</c:v>
                </c:pt>
                <c:pt idx="40">
                  <c:v>1101.55</c:v>
                </c:pt>
                <c:pt idx="41">
                  <c:v>833.91</c:v>
                </c:pt>
                <c:pt idx="42">
                  <c:v>1493.49</c:v>
                </c:pt>
                <c:pt idx="43">
                  <c:v>1512.85</c:v>
                </c:pt>
                <c:pt idx="44">
                  <c:v>2183.15</c:v>
                </c:pt>
                <c:pt idx="45">
                  <c:v>775.45</c:v>
                </c:pt>
                <c:pt idx="46">
                  <c:v>804.81</c:v>
                </c:pt>
                <c:pt idx="47">
                  <c:v>1014.09</c:v>
                </c:pt>
                <c:pt idx="48">
                  <c:v>2042.76</c:v>
                </c:pt>
                <c:pt idx="49">
                  <c:v>1014.22</c:v>
                </c:pt>
                <c:pt idx="50">
                  <c:v>3445.38</c:v>
                </c:pt>
                <c:pt idx="51">
                  <c:v>2550.32</c:v>
                </c:pt>
                <c:pt idx="52">
                  <c:v>2313.32</c:v>
                </c:pt>
                <c:pt idx="53">
                  <c:v>771.02</c:v>
                </c:pt>
                <c:pt idx="54">
                  <c:v>1189.83</c:v>
                </c:pt>
                <c:pt idx="55">
                  <c:v>689.43</c:v>
                </c:pt>
                <c:pt idx="56">
                  <c:v>1184.25</c:v>
                </c:pt>
                <c:pt idx="57">
                  <c:v>2098.43</c:v>
                </c:pt>
                <c:pt idx="58">
                  <c:v>488.99</c:v>
                </c:pt>
                <c:pt idx="59">
                  <c:v>862.19</c:v>
                </c:pt>
                <c:pt idx="60">
                  <c:v>1543.05</c:v>
                </c:pt>
                <c:pt idx="61">
                  <c:v>1001.57</c:v>
                </c:pt>
                <c:pt idx="62">
                  <c:v>1471.99</c:v>
                </c:pt>
                <c:pt idx="63">
                  <c:v>972.03</c:v>
                </c:pt>
                <c:pt idx="64">
                  <c:v>884.63</c:v>
                </c:pt>
                <c:pt idx="65">
                  <c:v>1101.28</c:v>
                </c:pt>
                <c:pt idx="66">
                  <c:v>3482.09</c:v>
                </c:pt>
                <c:pt idx="67">
                  <c:v>1344.22</c:v>
                </c:pt>
                <c:pt idx="68">
                  <c:v>1215.26</c:v>
                </c:pt>
                <c:pt idx="69">
                  <c:v>925.29</c:v>
                </c:pt>
                <c:pt idx="70">
                  <c:v>688.83</c:v>
                </c:pt>
                <c:pt idx="71">
                  <c:v>845.84</c:v>
                </c:pt>
                <c:pt idx="72">
                  <c:v>1603.14</c:v>
                </c:pt>
                <c:pt idx="73">
                  <c:v>1249.1</c:v>
                </c:pt>
                <c:pt idx="74">
                  <c:v>1171.18</c:v>
                </c:pt>
                <c:pt idx="75">
                  <c:v>1014.43</c:v>
                </c:pt>
                <c:pt idx="76">
                  <c:v>1572.82</c:v>
                </c:pt>
                <c:pt idx="77">
                  <c:v>1343.13</c:v>
                </c:pt>
                <c:pt idx="78">
                  <c:v>2004.14</c:v>
                </c:pt>
                <c:pt idx="79">
                  <c:v>1064.19</c:v>
                </c:pt>
                <c:pt idx="80">
                  <c:v>2399.62</c:v>
                </c:pt>
                <c:pt idx="81">
                  <c:v>1226.62</c:v>
                </c:pt>
                <c:pt idx="82">
                  <c:v>1923.66</c:v>
                </c:pt>
                <c:pt idx="83">
                  <c:v>820.19</c:v>
                </c:pt>
                <c:pt idx="84">
                  <c:v>511.74</c:v>
                </c:pt>
                <c:pt idx="85">
                  <c:v>1054.56</c:v>
                </c:pt>
                <c:pt idx="86">
                  <c:v>1681.21</c:v>
                </c:pt>
                <c:pt idx="87">
                  <c:v>379.77</c:v>
                </c:pt>
                <c:pt idx="88">
                  <c:v>1098.08</c:v>
                </c:pt>
                <c:pt idx="89">
                  <c:v>580.43</c:v>
                </c:pt>
                <c:pt idx="90">
                  <c:v>1576.16</c:v>
                </c:pt>
                <c:pt idx="91">
                  <c:v>1615.28</c:v>
                </c:pt>
                <c:pt idx="92">
                  <c:v>928.32</c:v>
                </c:pt>
                <c:pt idx="93">
                  <c:v>2082.12</c:v>
                </c:pt>
                <c:pt idx="94">
                  <c:v>1022.23</c:v>
                </c:pt>
                <c:pt idx="95">
                  <c:v>966.3</c:v>
                </c:pt>
                <c:pt idx="96">
                  <c:v>1061.04</c:v>
                </c:pt>
                <c:pt idx="97">
                  <c:v>640.64</c:v>
                </c:pt>
                <c:pt idx="98">
                  <c:v>826.97</c:v>
                </c:pt>
                <c:pt idx="99">
                  <c:v>1036.09</c:v>
                </c:pt>
                <c:pt idx="100">
                  <c:v>1838.1</c:v>
                </c:pt>
                <c:pt idx="101">
                  <c:v>2030.6</c:v>
                </c:pt>
                <c:pt idx="102">
                  <c:v>981.2</c:v>
                </c:pt>
                <c:pt idx="103">
                  <c:v>917.48</c:v>
                </c:pt>
                <c:pt idx="104">
                  <c:v>2068.1</c:v>
                </c:pt>
                <c:pt idx="105">
                  <c:v>1186.85</c:v>
                </c:pt>
                <c:pt idx="106">
                  <c:v>1383.3</c:v>
                </c:pt>
                <c:pt idx="107">
                  <c:v>1020.26</c:v>
                </c:pt>
                <c:pt idx="108">
                  <c:v>2378.79</c:v>
                </c:pt>
                <c:pt idx="109">
                  <c:v>984.93</c:v>
                </c:pt>
                <c:pt idx="110">
                  <c:v>2418.82</c:v>
                </c:pt>
                <c:pt idx="111">
                  <c:v>388.23</c:v>
                </c:pt>
                <c:pt idx="112">
                  <c:v>1353.79</c:v>
                </c:pt>
                <c:pt idx="113">
                  <c:v>1582.4</c:v>
                </c:pt>
                <c:pt idx="114">
                  <c:v>873.7</c:v>
                </c:pt>
                <c:pt idx="115">
                  <c:v>682.24</c:v>
                </c:pt>
                <c:pt idx="116">
                  <c:v>1526.6</c:v>
                </c:pt>
                <c:pt idx="117">
                  <c:v>980.18</c:v>
                </c:pt>
                <c:pt idx="118">
                  <c:v>1622.62</c:v>
                </c:pt>
                <c:pt idx="119">
                  <c:v>741.88</c:v>
                </c:pt>
                <c:pt idx="120">
                  <c:v>1450.71</c:v>
                </c:pt>
                <c:pt idx="121">
                  <c:v>1286.54</c:v>
                </c:pt>
                <c:pt idx="122">
                  <c:v>1967.87</c:v>
                </c:pt>
                <c:pt idx="123">
                  <c:v>1014.56</c:v>
                </c:pt>
                <c:pt idx="124">
                  <c:v>645.02</c:v>
                </c:pt>
                <c:pt idx="125">
                  <c:v>1111.34</c:v>
                </c:pt>
                <c:pt idx="126">
                  <c:v>1231.26</c:v>
                </c:pt>
                <c:pt idx="127">
                  <c:v>1161.67</c:v>
                </c:pt>
                <c:pt idx="128">
                  <c:v>1029.8</c:v>
                </c:pt>
                <c:pt idx="129">
                  <c:v>1784.55</c:v>
                </c:pt>
                <c:pt idx="130">
                  <c:v>1163.01</c:v>
                </c:pt>
                <c:pt idx="131">
                  <c:v>1115.22</c:v>
                </c:pt>
                <c:pt idx="132">
                  <c:v>710.52</c:v>
                </c:pt>
                <c:pt idx="133">
                  <c:v>499.18</c:v>
                </c:pt>
                <c:pt idx="134">
                  <c:v>740.8</c:v>
                </c:pt>
                <c:pt idx="135">
                  <c:v>521.67</c:v>
                </c:pt>
                <c:pt idx="136">
                  <c:v>741.61</c:v>
                </c:pt>
                <c:pt idx="137">
                  <c:v>1100.1</c:v>
                </c:pt>
                <c:pt idx="138">
                  <c:v>864.98</c:v>
                </c:pt>
                <c:pt idx="139">
                  <c:v>458.54</c:v>
                </c:pt>
                <c:pt idx="140">
                  <c:v>847</c:v>
                </c:pt>
                <c:pt idx="141">
                  <c:v>675.54</c:v>
                </c:pt>
                <c:pt idx="142">
                  <c:v>1086.93</c:v>
                </c:pt>
                <c:pt idx="143">
                  <c:v>973.26</c:v>
                </c:pt>
                <c:pt idx="144">
                  <c:v>608.66</c:v>
                </c:pt>
                <c:pt idx="145">
                  <c:v>1291.47</c:v>
                </c:pt>
                <c:pt idx="146">
                  <c:v>585.16</c:v>
                </c:pt>
                <c:pt idx="147">
                  <c:v>1109.98</c:v>
                </c:pt>
              </c:numCache>
            </c:numRef>
          </c:val>
          <c:smooth val="0"/>
        </c:ser>
        <c:dLbls>
          <c:showLegendKey val="0"/>
          <c:showVal val="1"/>
          <c:showCatName val="0"/>
          <c:showSerName val="0"/>
          <c:showPercent val="0"/>
          <c:showBubbleSize val="0"/>
        </c:dLbls>
        <c:marker val="0"/>
        <c:smooth val="0"/>
        <c:axId val="910711310"/>
        <c:axId val="610440572"/>
      </c:lineChart>
      <c:catAx>
        <c:axId val="91071131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0440572"/>
        <c:crosses val="autoZero"/>
        <c:auto val="1"/>
        <c:lblAlgn val="ctr"/>
        <c:lblOffset val="100"/>
        <c:noMultiLvlLbl val="0"/>
      </c:catAx>
      <c:valAx>
        <c:axId val="6104405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0711310"/>
        <c:crosses val="autoZero"/>
        <c:crossBetween val="between"/>
      </c:valAx>
      <c:spPr>
        <a:noFill/>
        <a:ln>
          <a:noFill/>
        </a:ln>
        <a:effectLst/>
      </c:spPr>
    </c:plotArea>
    <c:plotVisOnly val="1"/>
    <c:dispBlanksAs val="gap"/>
    <c:showDLblsOverMax val="0"/>
    <c:extLst>
      <c:ext uri="{0b15fc19-7d7d-44ad-8c2d-2c3a37ce22c3}">
        <chartProps xmlns="https://web.wps.cn/et/2018/main" chartId="{e6e0e797-686d-4167-8b2d-16398c737e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(1).xlsx]Sales distribution !PivotTable2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Sales Distribution by product category</a:t>
            </a:r>
          </a:p>
        </c:rich>
      </c:tx>
      <c:layout/>
      <c:overlay val="0"/>
      <c:spPr>
        <a:noFill/>
        <a:ln>
          <a:noFill/>
        </a:ln>
        <a:effectLst/>
      </c:spPr>
    </c:title>
    <c:autoTitleDeleted val="0"/>
    <c:plotArea>
      <c:layout/>
      <c:pieChart>
        <c:varyColors val="1"/>
        <c:ser>
          <c:idx val="0"/>
          <c:order val="0"/>
          <c:tx>
            <c:strRef>
              <c:f>'Sales distribution '!$B$3</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400000" scaled="1"/>
                </a:gradFill>
              </a:ln>
              <a:effectLst/>
            </c:spPr>
          </c:dPt>
          <c:dPt>
            <c:idx val="4"/>
            <c:bubble3D val="0"/>
            <c:spPr>
              <a:gradFill>
                <a:gsLst>
                  <a:gs pos="0">
                    <a:schemeClr val="accent5">
                      <a:hueOff val="-1670000"/>
                    </a:schemeClr>
                  </a:gs>
                  <a:gs pos="100000">
                    <a:schemeClr val="accent5"/>
                  </a:gs>
                </a:gsLst>
                <a:lin ang="5400000" scaled="0"/>
              </a:gradFill>
              <a:ln>
                <a:gradFill>
                  <a:gsLst>
                    <a:gs pos="0">
                      <a:schemeClr val="accent5">
                        <a:lumMod val="75000"/>
                        <a:hueOff val="-1670000"/>
                      </a:schemeClr>
                    </a:gs>
                    <a:gs pos="100000">
                      <a:schemeClr val="accent5">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2"/>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3"/>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4"/>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4"/>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5"/>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'Sales distribution '!$A$4:$A$9</c:f>
              <c:strCache>
                <c:ptCount val="5"/>
                <c:pt idx="0">
                  <c:v>Books</c:v>
                </c:pt>
                <c:pt idx="1">
                  <c:v>Clothing</c:v>
                </c:pt>
                <c:pt idx="2">
                  <c:v>Electronics</c:v>
                </c:pt>
                <c:pt idx="3">
                  <c:v>Furniture</c:v>
                </c:pt>
                <c:pt idx="4">
                  <c:v>Office Supplies</c:v>
                </c:pt>
              </c:strCache>
            </c:strRef>
          </c:cat>
          <c:val>
            <c:numRef>
              <c:f>'Sales distribution '!$B$4:$B$9</c:f>
              <c:numCache>
                <c:formatCode>General</c:formatCode>
                <c:ptCount val="5"/>
                <c:pt idx="0">
                  <c:v>47002.46</c:v>
                </c:pt>
                <c:pt idx="1">
                  <c:v>41927.59</c:v>
                </c:pt>
                <c:pt idx="2">
                  <c:v>41044</c:v>
                </c:pt>
                <c:pt idx="3">
                  <c:v>36612.89</c:v>
                </c:pt>
                <c:pt idx="4">
                  <c:v>28630.82</c:v>
                </c:pt>
              </c:numCache>
            </c:numRef>
          </c:val>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f9fce0f3-1630-48f6-89ed-187e20809c18}"/>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(1).xlsx]Reginal Distribution!PivotTable2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Regional Distribution</a:t>
            </a:r>
          </a:p>
        </c:rich>
      </c:tx>
      <c:layout/>
      <c:overlay val="0"/>
      <c:spPr>
        <a:noFill/>
        <a:ln>
          <a:noFill/>
        </a:ln>
        <a:effectLst/>
      </c:spPr>
    </c:title>
    <c:autoTitleDeleted val="0"/>
    <c:plotArea>
      <c:layout/>
      <c:pieChart>
        <c:varyColors val="1"/>
        <c:ser>
          <c:idx val="0"/>
          <c:order val="0"/>
          <c:tx>
            <c:strRef>
              <c:f>'Reginal Distribution'!$B$3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'Reginal Distribution'!$A$4:$A$9</c:f>
              <c:strCache>
                <c:ptCount val="5"/>
                <c:pt idx="0">
                  <c:v>West</c:v>
                </c:pt>
                <c:pt idx="1">
                  <c:v>North</c:v>
                </c:pt>
                <c:pt idx="2">
                  <c:v>Central</c:v>
                </c:pt>
                <c:pt idx="3">
                  <c:v>South</c:v>
                </c:pt>
                <c:pt idx="4">
                  <c:v>East</c:v>
                </c:pt>
              </c:strCache>
            </c:strRef>
          </c:cat>
          <c:val>
            <c:numRef>
              <c:f>'Reginal Distribution'!$B$4:$B$9</c:f>
              <c:numCache>
                <c:formatCode>General</c:formatCode>
                <c:ptCount val="5"/>
                <c:pt idx="0">
                  <c:v>44083.58</c:v>
                </c:pt>
                <c:pt idx="1">
                  <c:v>34975.42</c:v>
                </c:pt>
                <c:pt idx="2">
                  <c:v>43468.33</c:v>
                </c:pt>
                <c:pt idx="3">
                  <c:v>40248.79</c:v>
                </c:pt>
                <c:pt idx="4">
                  <c:v>32441.64</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6e0e797-686d-4167-8b2d-16398c737e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(1).xlsx]Reginal Distribution (2)!PivotTable2</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Sales per Day </a:t>
            </a:r>
          </a:p>
        </c:rich>
      </c:tx>
      <c:layout/>
      <c:overlay val="0"/>
      <c:spPr>
        <a:noFill/>
        <a:ln>
          <a:noFill/>
        </a:ln>
        <a:effectLst/>
      </c:spPr>
    </c:title>
    <c:autoTitleDeleted val="0"/>
    <c:plotArea>
      <c:layout/>
      <c:lineChart>
        <c:grouping val="standard"/>
        <c:varyColors val="0"/>
        <c:ser>
          <c:idx val="0"/>
          <c:order val="0"/>
          <c:tx>
            <c:strRef>
              <c:f>'Reginal Distribution (2)'!$B$3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dPt>
          <c:dPt>
            <c:idx val="1"/>
            <c:marker>
              <c:symbol val="none"/>
            </c:marker>
            <c:bubble3D val="0"/>
            <c:spPr>
              <a:ln w="28575" cap="rnd">
                <a:solidFill>
                  <a:schemeClr val="accent1"/>
                </a:solidFill>
                <a:round/>
              </a:ln>
              <a:effectLst/>
            </c:spPr>
          </c:dPt>
          <c:dPt>
            <c:idx val="2"/>
            <c:marker>
              <c:symbol val="none"/>
            </c:marker>
            <c:bubble3D val="0"/>
            <c:spPr>
              <a:ln w="28575" cap="rnd">
                <a:solidFill>
                  <a:schemeClr val="accent1"/>
                </a:solidFill>
                <a:round/>
              </a:ln>
              <a:effectLst/>
            </c:spPr>
          </c:dPt>
          <c:dPt>
            <c:idx val="3"/>
            <c:marker>
              <c:symbol val="none"/>
            </c:marker>
            <c:bubble3D val="0"/>
            <c:spPr>
              <a:ln w="28575" cap="rnd">
                <a:solidFill>
                  <a:schemeClr val="accent1"/>
                </a:solidFill>
                <a:round/>
              </a:ln>
              <a:effectLst/>
            </c:spPr>
          </c:dPt>
          <c:dPt>
            <c:idx val="4"/>
            <c:marker>
              <c:symbol val="none"/>
            </c:marker>
            <c:bubble3D val="0"/>
            <c:spPr>
              <a:ln w="28575" cap="rnd">
                <a:solidFill>
                  <a:schemeClr val="accent1"/>
                </a:solidFill>
                <a:round/>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'Reginal Distribution (2)'!$A$4:$A$152</c:f>
              <c:strCache>
                <c:ptCount val="148"/>
                <c:pt idx="0">
                  <c:v>04/16/24</c:v>
                </c:pt>
                <c:pt idx="1">
                  <c:v>04/29/24</c:v>
                </c:pt>
                <c:pt idx="2">
                  <c:v>05/16/24</c:v>
                </c:pt>
                <c:pt idx="3">
                  <c:v>11/12/24</c:v>
                </c:pt>
                <c:pt idx="4">
                  <c:v>11/29/24</c:v>
                </c:pt>
                <c:pt idx="5">
                  <c:v>12/14/24</c:v>
                </c:pt>
                <c:pt idx="6">
                  <c:v>12/25/24</c:v>
                </c:pt>
                <c:pt idx="7">
                  <c:v>06/23/24</c:v>
                </c:pt>
                <c:pt idx="8">
                  <c:v>07/15/24</c:v>
                </c:pt>
                <c:pt idx="9">
                  <c:v>11/19/24</c:v>
                </c:pt>
                <c:pt idx="10">
                  <c:v>12/12/24</c:v>
                </c:pt>
                <c:pt idx="11">
                  <c:v>02/05/25</c:v>
                </c:pt>
                <c:pt idx="12">
                  <c:v>02/24/25</c:v>
                </c:pt>
                <c:pt idx="13">
                  <c:v>06/30/24</c:v>
                </c:pt>
                <c:pt idx="14">
                  <c:v>07/08/24</c:v>
                </c:pt>
                <c:pt idx="15">
                  <c:v>07/14/24</c:v>
                </c:pt>
                <c:pt idx="16">
                  <c:v>09/09/24</c:v>
                </c:pt>
                <c:pt idx="17">
                  <c:v>09/18/24</c:v>
                </c:pt>
                <c:pt idx="18">
                  <c:v>09/29/24</c:v>
                </c:pt>
                <c:pt idx="19">
                  <c:v>10/28/24</c:v>
                </c:pt>
                <c:pt idx="20">
                  <c:v>03/10/25</c:v>
                </c:pt>
                <c:pt idx="21">
                  <c:v>08/18/24</c:v>
                </c:pt>
                <c:pt idx="22">
                  <c:v>09/12/24</c:v>
                </c:pt>
                <c:pt idx="23">
                  <c:v>11/17/24</c:v>
                </c:pt>
                <c:pt idx="24">
                  <c:v>02/10/25</c:v>
                </c:pt>
                <c:pt idx="25">
                  <c:v>02/15/25</c:v>
                </c:pt>
                <c:pt idx="26">
                  <c:v>03/02/25</c:v>
                </c:pt>
                <c:pt idx="27">
                  <c:v>04/14/24</c:v>
                </c:pt>
                <c:pt idx="28">
                  <c:v>04/28/24</c:v>
                </c:pt>
                <c:pt idx="29">
                  <c:v>06/02/24</c:v>
                </c:pt>
                <c:pt idx="30">
                  <c:v>06/25/24</c:v>
                </c:pt>
                <c:pt idx="31">
                  <c:v>08/15/24</c:v>
                </c:pt>
                <c:pt idx="32">
                  <c:v>09/01/24</c:v>
                </c:pt>
                <c:pt idx="33">
                  <c:v>04/30/24</c:v>
                </c:pt>
                <c:pt idx="34">
                  <c:v>10/19/24</c:v>
                </c:pt>
                <c:pt idx="35">
                  <c:v>04/24/24</c:v>
                </c:pt>
                <c:pt idx="36">
                  <c:v>05/03/24</c:v>
                </c:pt>
                <c:pt idx="37">
                  <c:v>05/10/24</c:v>
                </c:pt>
                <c:pt idx="38">
                  <c:v>06/18/24</c:v>
                </c:pt>
                <c:pt idx="39">
                  <c:v>08/30/24</c:v>
                </c:pt>
                <c:pt idx="40">
                  <c:v>09/16/24</c:v>
                </c:pt>
                <c:pt idx="41">
                  <c:v>11/30/24</c:v>
                </c:pt>
                <c:pt idx="42">
                  <c:v>03/18/25</c:v>
                </c:pt>
                <c:pt idx="43">
                  <c:v>03/27/25</c:v>
                </c:pt>
                <c:pt idx="44">
                  <c:v>05/22/24</c:v>
                </c:pt>
                <c:pt idx="45">
                  <c:v>06/14/24</c:v>
                </c:pt>
                <c:pt idx="46">
                  <c:v>07/29/24</c:v>
                </c:pt>
                <c:pt idx="47">
                  <c:v>10/02/24</c:v>
                </c:pt>
                <c:pt idx="48">
                  <c:v>10/12/24</c:v>
                </c:pt>
                <c:pt idx="49">
                  <c:v>11/03/24</c:v>
                </c:pt>
                <c:pt idx="50">
                  <c:v>01/17/25</c:v>
                </c:pt>
                <c:pt idx="51">
                  <c:v>03/29/25</c:v>
                </c:pt>
                <c:pt idx="52">
                  <c:v>04/19/24</c:v>
                </c:pt>
                <c:pt idx="53">
                  <c:v>10/20/24</c:v>
                </c:pt>
                <c:pt idx="54">
                  <c:v>02/21/25</c:v>
                </c:pt>
                <c:pt idx="55">
                  <c:v>03/20/25</c:v>
                </c:pt>
                <c:pt idx="56">
                  <c:v>03/26/25</c:v>
                </c:pt>
                <c:pt idx="57">
                  <c:v>05/06/24</c:v>
                </c:pt>
                <c:pt idx="58">
                  <c:v>07/06/24</c:v>
                </c:pt>
                <c:pt idx="59">
                  <c:v>01/06/25</c:v>
                </c:pt>
                <c:pt idx="60">
                  <c:v>04/05/25</c:v>
                </c:pt>
                <c:pt idx="61">
                  <c:v>06/07/24</c:v>
                </c:pt>
                <c:pt idx="62">
                  <c:v>11/20/24</c:v>
                </c:pt>
                <c:pt idx="63">
                  <c:v>01/01/25</c:v>
                </c:pt>
                <c:pt idx="64">
                  <c:v>01/02/25</c:v>
                </c:pt>
                <c:pt idx="65">
                  <c:v>04/11/24</c:v>
                </c:pt>
                <c:pt idx="66">
                  <c:v>05/17/24</c:v>
                </c:pt>
                <c:pt idx="67">
                  <c:v>08/05/24</c:v>
                </c:pt>
                <c:pt idx="68">
                  <c:v>08/09/24</c:v>
                </c:pt>
                <c:pt idx="69">
                  <c:v>10/05/24</c:v>
                </c:pt>
                <c:pt idx="70">
                  <c:v>10/30/24</c:v>
                </c:pt>
                <c:pt idx="71">
                  <c:v>02/19/25</c:v>
                </c:pt>
                <c:pt idx="72">
                  <c:v>09/17/24</c:v>
                </c:pt>
                <c:pt idx="73">
                  <c:v>11/01/24</c:v>
                </c:pt>
                <c:pt idx="74">
                  <c:v>01/10/25</c:v>
                </c:pt>
                <c:pt idx="75">
                  <c:v>02/25/25</c:v>
                </c:pt>
                <c:pt idx="76">
                  <c:v>04/20/24</c:v>
                </c:pt>
                <c:pt idx="77">
                  <c:v>04/22/24</c:v>
                </c:pt>
                <c:pt idx="78">
                  <c:v>11/26/24</c:v>
                </c:pt>
                <c:pt idx="79">
                  <c:v>03/09/25</c:v>
                </c:pt>
                <c:pt idx="80">
                  <c:v>03/30/25</c:v>
                </c:pt>
                <c:pt idx="81">
                  <c:v>06/20/24</c:v>
                </c:pt>
                <c:pt idx="82">
                  <c:v>10/15/24</c:v>
                </c:pt>
                <c:pt idx="83">
                  <c:v>12/04/24</c:v>
                </c:pt>
                <c:pt idx="84">
                  <c:v>12/05/24</c:v>
                </c:pt>
                <c:pt idx="85">
                  <c:v>01/12/25</c:v>
                </c:pt>
                <c:pt idx="86">
                  <c:v>01/13/25</c:v>
                </c:pt>
                <c:pt idx="87">
                  <c:v>01/16/25</c:v>
                </c:pt>
                <c:pt idx="88">
                  <c:v>02/04/25</c:v>
                </c:pt>
                <c:pt idx="89">
                  <c:v>05/23/24</c:v>
                </c:pt>
                <c:pt idx="90">
                  <c:v>09/30/24</c:v>
                </c:pt>
                <c:pt idx="91">
                  <c:v>01/03/25</c:v>
                </c:pt>
                <c:pt idx="92">
                  <c:v>04/07/25</c:v>
                </c:pt>
                <c:pt idx="93">
                  <c:v>06/06/24</c:v>
                </c:pt>
                <c:pt idx="94">
                  <c:v>03/01/25</c:v>
                </c:pt>
                <c:pt idx="95">
                  <c:v>09/22/24</c:v>
                </c:pt>
                <c:pt idx="96">
                  <c:v>11/28/24</c:v>
                </c:pt>
                <c:pt idx="97">
                  <c:v>01/21/25</c:v>
                </c:pt>
                <c:pt idx="98">
                  <c:v>02/27/25</c:v>
                </c:pt>
                <c:pt idx="99">
                  <c:v>04/10/24</c:v>
                </c:pt>
                <c:pt idx="100">
                  <c:v>05/04/24</c:v>
                </c:pt>
                <c:pt idx="101">
                  <c:v>10/16/24</c:v>
                </c:pt>
                <c:pt idx="102">
                  <c:v>07/31/24</c:v>
                </c:pt>
                <c:pt idx="103">
                  <c:v>09/23/24</c:v>
                </c:pt>
                <c:pt idx="104">
                  <c:v>06/05/24</c:v>
                </c:pt>
                <c:pt idx="105">
                  <c:v>06/08/24</c:v>
                </c:pt>
                <c:pt idx="106">
                  <c:v>07/05/24</c:v>
                </c:pt>
                <c:pt idx="107">
                  <c:v>07/21/24</c:v>
                </c:pt>
                <c:pt idx="108">
                  <c:v>09/24/24</c:v>
                </c:pt>
                <c:pt idx="109">
                  <c:v>03/17/25</c:v>
                </c:pt>
                <c:pt idx="110">
                  <c:v>09/14/24</c:v>
                </c:pt>
                <c:pt idx="111">
                  <c:v>12/24/24</c:v>
                </c:pt>
                <c:pt idx="112">
                  <c:v>12/30/24</c:v>
                </c:pt>
                <c:pt idx="113">
                  <c:v>06/04/24</c:v>
                </c:pt>
                <c:pt idx="114">
                  <c:v>09/11/24</c:v>
                </c:pt>
                <c:pt idx="115">
                  <c:v>03/22/25</c:v>
                </c:pt>
                <c:pt idx="116">
                  <c:v>08/08/24</c:v>
                </c:pt>
                <c:pt idx="117">
                  <c:v>10/17/24</c:v>
                </c:pt>
                <c:pt idx="118">
                  <c:v>01/20/25</c:v>
                </c:pt>
                <c:pt idx="119">
                  <c:v>02/07/25</c:v>
                </c:pt>
                <c:pt idx="120">
                  <c:v>05/15/24</c:v>
                </c:pt>
                <c:pt idx="121">
                  <c:v>10/10/24</c:v>
                </c:pt>
                <c:pt idx="122">
                  <c:v>11/09/24</c:v>
                </c:pt>
                <c:pt idx="123">
                  <c:v>11/16/24</c:v>
                </c:pt>
                <c:pt idx="124">
                  <c:v>05/02/24</c:v>
                </c:pt>
                <c:pt idx="125">
                  <c:v>08/19/24</c:v>
                </c:pt>
                <c:pt idx="126">
                  <c:v>12/20/24</c:v>
                </c:pt>
                <c:pt idx="127">
                  <c:v>12/21/24</c:v>
                </c:pt>
                <c:pt idx="128">
                  <c:v>02/20/25</c:v>
                </c:pt>
                <c:pt idx="129">
                  <c:v>05/14/24</c:v>
                </c:pt>
                <c:pt idx="130">
                  <c:v>11/15/24</c:v>
                </c:pt>
                <c:pt idx="131">
                  <c:v>02/17/25</c:v>
                </c:pt>
                <c:pt idx="132">
                  <c:v>03/05/25</c:v>
                </c:pt>
                <c:pt idx="133">
                  <c:v>03/08/25</c:v>
                </c:pt>
                <c:pt idx="134">
                  <c:v>04/02/25</c:v>
                </c:pt>
                <c:pt idx="135">
                  <c:v>04/27/24</c:v>
                </c:pt>
                <c:pt idx="136">
                  <c:v>06/28/24</c:v>
                </c:pt>
                <c:pt idx="137">
                  <c:v>07/09/24</c:v>
                </c:pt>
                <c:pt idx="138">
                  <c:v>03/11/25</c:v>
                </c:pt>
                <c:pt idx="139">
                  <c:v>03/25/25</c:v>
                </c:pt>
                <c:pt idx="140">
                  <c:v>04/15/24</c:v>
                </c:pt>
                <c:pt idx="141">
                  <c:v>05/08/24</c:v>
                </c:pt>
                <c:pt idx="142">
                  <c:v>06/21/24</c:v>
                </c:pt>
                <c:pt idx="143">
                  <c:v>06/27/24</c:v>
                </c:pt>
                <c:pt idx="144">
                  <c:v>07/30/24</c:v>
                </c:pt>
                <c:pt idx="145">
                  <c:v>08/22/24</c:v>
                </c:pt>
                <c:pt idx="146">
                  <c:v>01/27/25</c:v>
                </c:pt>
                <c:pt idx="147">
                  <c:v>02/02/25</c:v>
                </c:pt>
              </c:strCache>
            </c:strRef>
          </c:cat>
          <c:val>
            <c:numRef>
              <c:f>'Reginal Distribution (2)'!$B$4:$B$152</c:f>
              <c:numCache>
                <c:formatCode>General</c:formatCode>
                <c:ptCount val="148"/>
                <c:pt idx="0">
                  <c:v>2283.17</c:v>
                </c:pt>
                <c:pt idx="1">
                  <c:v>1514.28</c:v>
                </c:pt>
                <c:pt idx="2">
                  <c:v>1876.93</c:v>
                </c:pt>
                <c:pt idx="3">
                  <c:v>1077.92</c:v>
                </c:pt>
                <c:pt idx="4">
                  <c:v>894.55</c:v>
                </c:pt>
                <c:pt idx="5">
                  <c:v>2921.05</c:v>
                </c:pt>
                <c:pt idx="6">
                  <c:v>1926.08</c:v>
                </c:pt>
                <c:pt idx="7">
                  <c:v>942.9</c:v>
                </c:pt>
                <c:pt idx="8">
                  <c:v>2247.78</c:v>
                </c:pt>
                <c:pt idx="9">
                  <c:v>3680.1</c:v>
                </c:pt>
                <c:pt idx="10">
                  <c:v>806.03</c:v>
                </c:pt>
                <c:pt idx="11">
                  <c:v>827.25</c:v>
                </c:pt>
                <c:pt idx="12">
                  <c:v>2322.5</c:v>
                </c:pt>
                <c:pt idx="13">
                  <c:v>2609.18</c:v>
                </c:pt>
                <c:pt idx="14">
                  <c:v>1939.24</c:v>
                </c:pt>
                <c:pt idx="15">
                  <c:v>1034.7</c:v>
                </c:pt>
                <c:pt idx="16">
                  <c:v>2504.76</c:v>
                </c:pt>
                <c:pt idx="17">
                  <c:v>1158.94</c:v>
                </c:pt>
                <c:pt idx="18">
                  <c:v>1729.12</c:v>
                </c:pt>
                <c:pt idx="19">
                  <c:v>661.09</c:v>
                </c:pt>
                <c:pt idx="20">
                  <c:v>438.76</c:v>
                </c:pt>
                <c:pt idx="21">
                  <c:v>518.07</c:v>
                </c:pt>
                <c:pt idx="22">
                  <c:v>1443.98</c:v>
                </c:pt>
                <c:pt idx="23">
                  <c:v>2702.62</c:v>
                </c:pt>
                <c:pt idx="24">
                  <c:v>1311.26</c:v>
                </c:pt>
                <c:pt idx="25">
                  <c:v>573.32</c:v>
                </c:pt>
                <c:pt idx="26">
                  <c:v>1099.69</c:v>
                </c:pt>
                <c:pt idx="27">
                  <c:v>1474.27</c:v>
                </c:pt>
                <c:pt idx="28">
                  <c:v>1502.93</c:v>
                </c:pt>
                <c:pt idx="29">
                  <c:v>1151.21</c:v>
                </c:pt>
                <c:pt idx="30">
                  <c:v>1737.84</c:v>
                </c:pt>
                <c:pt idx="31">
                  <c:v>1261.34</c:v>
                </c:pt>
                <c:pt idx="32">
                  <c:v>1860.76</c:v>
                </c:pt>
                <c:pt idx="33">
                  <c:v>1506.14</c:v>
                </c:pt>
                <c:pt idx="34">
                  <c:v>1891.18</c:v>
                </c:pt>
                <c:pt idx="35">
                  <c:v>2013.86</c:v>
                </c:pt>
                <c:pt idx="36">
                  <c:v>953.3</c:v>
                </c:pt>
                <c:pt idx="37">
                  <c:v>939.09</c:v>
                </c:pt>
                <c:pt idx="38">
                  <c:v>1021.47</c:v>
                </c:pt>
                <c:pt idx="39">
                  <c:v>1823.4</c:v>
                </c:pt>
                <c:pt idx="40">
                  <c:v>1101.55</c:v>
                </c:pt>
                <c:pt idx="41">
                  <c:v>833.91</c:v>
                </c:pt>
                <c:pt idx="42">
                  <c:v>1493.49</c:v>
                </c:pt>
                <c:pt idx="43">
                  <c:v>1512.85</c:v>
                </c:pt>
                <c:pt idx="44">
                  <c:v>2183.15</c:v>
                </c:pt>
                <c:pt idx="45">
                  <c:v>775.45</c:v>
                </c:pt>
                <c:pt idx="46">
                  <c:v>804.81</c:v>
                </c:pt>
                <c:pt idx="47">
                  <c:v>1014.09</c:v>
                </c:pt>
                <c:pt idx="48">
                  <c:v>2042.76</c:v>
                </c:pt>
                <c:pt idx="49">
                  <c:v>1014.22</c:v>
                </c:pt>
                <c:pt idx="50">
                  <c:v>3445.38</c:v>
                </c:pt>
                <c:pt idx="51">
                  <c:v>2550.32</c:v>
                </c:pt>
                <c:pt idx="52">
                  <c:v>2313.32</c:v>
                </c:pt>
                <c:pt idx="53">
                  <c:v>771.02</c:v>
                </c:pt>
                <c:pt idx="54">
                  <c:v>1189.83</c:v>
                </c:pt>
                <c:pt idx="55">
                  <c:v>689.43</c:v>
                </c:pt>
                <c:pt idx="56">
                  <c:v>1184.25</c:v>
                </c:pt>
                <c:pt idx="57">
                  <c:v>2098.43</c:v>
                </c:pt>
                <c:pt idx="58">
                  <c:v>488.99</c:v>
                </c:pt>
                <c:pt idx="59">
                  <c:v>862.19</c:v>
                </c:pt>
                <c:pt idx="60">
                  <c:v>1543.05</c:v>
                </c:pt>
                <c:pt idx="61">
                  <c:v>1001.57</c:v>
                </c:pt>
                <c:pt idx="62">
                  <c:v>1471.99</c:v>
                </c:pt>
                <c:pt idx="63">
                  <c:v>972.03</c:v>
                </c:pt>
                <c:pt idx="64">
                  <c:v>884.63</c:v>
                </c:pt>
                <c:pt idx="65">
                  <c:v>1101.28</c:v>
                </c:pt>
                <c:pt idx="66">
                  <c:v>3482.09</c:v>
                </c:pt>
                <c:pt idx="67">
                  <c:v>1344.22</c:v>
                </c:pt>
                <c:pt idx="68">
                  <c:v>1215.26</c:v>
                </c:pt>
                <c:pt idx="69">
                  <c:v>925.29</c:v>
                </c:pt>
                <c:pt idx="70">
                  <c:v>688.83</c:v>
                </c:pt>
                <c:pt idx="71">
                  <c:v>845.84</c:v>
                </c:pt>
                <c:pt idx="72">
                  <c:v>1603.14</c:v>
                </c:pt>
                <c:pt idx="73">
                  <c:v>1249.1</c:v>
                </c:pt>
                <c:pt idx="74">
                  <c:v>1171.18</c:v>
                </c:pt>
                <c:pt idx="75">
                  <c:v>1014.43</c:v>
                </c:pt>
                <c:pt idx="76">
                  <c:v>1572.82</c:v>
                </c:pt>
                <c:pt idx="77">
                  <c:v>1343.13</c:v>
                </c:pt>
                <c:pt idx="78">
                  <c:v>2004.14</c:v>
                </c:pt>
                <c:pt idx="79">
                  <c:v>1064.19</c:v>
                </c:pt>
                <c:pt idx="80">
                  <c:v>2399.62</c:v>
                </c:pt>
                <c:pt idx="81">
                  <c:v>1226.62</c:v>
                </c:pt>
                <c:pt idx="82">
                  <c:v>1923.66</c:v>
                </c:pt>
                <c:pt idx="83">
                  <c:v>820.19</c:v>
                </c:pt>
                <c:pt idx="84">
                  <c:v>511.74</c:v>
                </c:pt>
                <c:pt idx="85">
                  <c:v>1054.56</c:v>
                </c:pt>
                <c:pt idx="86">
                  <c:v>1681.21</c:v>
                </c:pt>
                <c:pt idx="87">
                  <c:v>379.77</c:v>
                </c:pt>
                <c:pt idx="88">
                  <c:v>1098.08</c:v>
                </c:pt>
                <c:pt idx="89">
                  <c:v>580.43</c:v>
                </c:pt>
                <c:pt idx="90">
                  <c:v>1576.16</c:v>
                </c:pt>
                <c:pt idx="91">
                  <c:v>1615.28</c:v>
                </c:pt>
                <c:pt idx="92">
                  <c:v>928.32</c:v>
                </c:pt>
                <c:pt idx="93">
                  <c:v>2082.12</c:v>
                </c:pt>
                <c:pt idx="94">
                  <c:v>1022.23</c:v>
                </c:pt>
                <c:pt idx="95">
                  <c:v>966.3</c:v>
                </c:pt>
                <c:pt idx="96">
                  <c:v>1061.04</c:v>
                </c:pt>
                <c:pt idx="97">
                  <c:v>640.64</c:v>
                </c:pt>
                <c:pt idx="98">
                  <c:v>826.97</c:v>
                </c:pt>
                <c:pt idx="99">
                  <c:v>1036.09</c:v>
                </c:pt>
                <c:pt idx="100">
                  <c:v>1838.1</c:v>
                </c:pt>
                <c:pt idx="101">
                  <c:v>2030.6</c:v>
                </c:pt>
                <c:pt idx="102">
                  <c:v>981.2</c:v>
                </c:pt>
                <c:pt idx="103">
                  <c:v>917.48</c:v>
                </c:pt>
                <c:pt idx="104">
                  <c:v>2068.1</c:v>
                </c:pt>
                <c:pt idx="105">
                  <c:v>1186.85</c:v>
                </c:pt>
                <c:pt idx="106">
                  <c:v>1383.3</c:v>
                </c:pt>
                <c:pt idx="107">
                  <c:v>1020.26</c:v>
                </c:pt>
                <c:pt idx="108">
                  <c:v>2378.79</c:v>
                </c:pt>
                <c:pt idx="109">
                  <c:v>984.93</c:v>
                </c:pt>
                <c:pt idx="110">
                  <c:v>2418.82</c:v>
                </c:pt>
                <c:pt idx="111">
                  <c:v>388.23</c:v>
                </c:pt>
                <c:pt idx="112">
                  <c:v>1353.79</c:v>
                </c:pt>
                <c:pt idx="113">
                  <c:v>1582.4</c:v>
                </c:pt>
                <c:pt idx="114">
                  <c:v>873.7</c:v>
                </c:pt>
                <c:pt idx="115">
                  <c:v>682.24</c:v>
                </c:pt>
                <c:pt idx="116">
                  <c:v>1526.6</c:v>
                </c:pt>
                <c:pt idx="117">
                  <c:v>980.18</c:v>
                </c:pt>
                <c:pt idx="118">
                  <c:v>1622.62</c:v>
                </c:pt>
                <c:pt idx="119">
                  <c:v>741.88</c:v>
                </c:pt>
                <c:pt idx="120">
                  <c:v>1450.71</c:v>
                </c:pt>
                <c:pt idx="121">
                  <c:v>1286.54</c:v>
                </c:pt>
                <c:pt idx="122">
                  <c:v>1967.87</c:v>
                </c:pt>
                <c:pt idx="123">
                  <c:v>1014.56</c:v>
                </c:pt>
                <c:pt idx="124">
                  <c:v>645.02</c:v>
                </c:pt>
                <c:pt idx="125">
                  <c:v>1111.34</c:v>
                </c:pt>
                <c:pt idx="126">
                  <c:v>1231.26</c:v>
                </c:pt>
                <c:pt idx="127">
                  <c:v>1161.67</c:v>
                </c:pt>
                <c:pt idx="128">
                  <c:v>1029.8</c:v>
                </c:pt>
                <c:pt idx="129">
                  <c:v>1784.55</c:v>
                </c:pt>
                <c:pt idx="130">
                  <c:v>1163.01</c:v>
                </c:pt>
                <c:pt idx="131">
                  <c:v>1115.22</c:v>
                </c:pt>
                <c:pt idx="132">
                  <c:v>710.52</c:v>
                </c:pt>
                <c:pt idx="133">
                  <c:v>499.18</c:v>
                </c:pt>
                <c:pt idx="134">
                  <c:v>740.8</c:v>
                </c:pt>
                <c:pt idx="135">
                  <c:v>521.67</c:v>
                </c:pt>
                <c:pt idx="136">
                  <c:v>741.61</c:v>
                </c:pt>
                <c:pt idx="137">
                  <c:v>1100.1</c:v>
                </c:pt>
                <c:pt idx="138">
                  <c:v>864.98</c:v>
                </c:pt>
                <c:pt idx="139">
                  <c:v>458.54</c:v>
                </c:pt>
                <c:pt idx="140">
                  <c:v>847</c:v>
                </c:pt>
                <c:pt idx="141">
                  <c:v>675.54</c:v>
                </c:pt>
                <c:pt idx="142">
                  <c:v>1086.93</c:v>
                </c:pt>
                <c:pt idx="143">
                  <c:v>973.26</c:v>
                </c:pt>
                <c:pt idx="144">
                  <c:v>608.66</c:v>
                </c:pt>
                <c:pt idx="145">
                  <c:v>1291.47</c:v>
                </c:pt>
                <c:pt idx="146">
                  <c:v>585.16</c:v>
                </c:pt>
                <c:pt idx="147">
                  <c:v>1109.98</c:v>
                </c:pt>
              </c:numCache>
            </c:numRef>
          </c:val>
          <c:smooth val="0"/>
        </c:ser>
        <c:dLbls>
          <c:showLegendKey val="0"/>
          <c:showVal val="1"/>
          <c:showCatName val="0"/>
          <c:showSerName val="0"/>
          <c:showPercent val="0"/>
          <c:showBubbleSize val="0"/>
        </c:dLbls>
        <c:marker val="0"/>
        <c:smooth val="0"/>
        <c:axId val="910711310"/>
        <c:axId val="610440572"/>
      </c:lineChart>
      <c:catAx>
        <c:axId val="91071131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0440572"/>
        <c:crosses val="autoZero"/>
        <c:auto val="1"/>
        <c:lblAlgn val="ctr"/>
        <c:lblOffset val="100"/>
        <c:noMultiLvlLbl val="0"/>
      </c:catAx>
      <c:valAx>
        <c:axId val="6104405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0711310"/>
        <c:crosses val="autoZero"/>
        <c:crossBetween val="between"/>
      </c:valAx>
      <c:spPr>
        <a:noFill/>
        <a:ln>
          <a:noFill/>
        </a:ln>
        <a:effectLst/>
      </c:spPr>
    </c:plotArea>
    <c:plotVisOnly val="1"/>
    <c:dispBlanksAs val="gap"/>
    <c:showDLblsOverMax val="0"/>
    <c:extLst>
      <c:ext uri="{0b15fc19-7d7d-44ad-8c2d-2c3a37ce22c3}">
        <chartProps xmlns="https://web.wps.cn/et/2018/main" chartId="{e6e0e797-686d-4167-8b2d-16398c737e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276860</xdr:colOff>
      <xdr:row>6</xdr:row>
      <xdr:rowOff>58420</xdr:rowOff>
    </xdr:from>
    <xdr:to>
      <xdr:col>11</xdr:col>
      <xdr:colOff>226060</xdr:colOff>
      <xdr:row>21</xdr:row>
      <xdr:rowOff>58420</xdr:rowOff>
    </xdr:to>
    <xdr:graphicFrame>
      <xdr:nvGraphicFramePr>
        <xdr:cNvPr id="2" name="Chart 1"/>
        <xdr:cNvGraphicFramePr/>
      </xdr:nvGraphicFramePr>
      <xdr:xfrm>
        <a:off x="3111500" y="11557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276860</xdr:colOff>
      <xdr:row>6</xdr:row>
      <xdr:rowOff>58420</xdr:rowOff>
    </xdr:from>
    <xdr:to>
      <xdr:col>11</xdr:col>
      <xdr:colOff>226060</xdr:colOff>
      <xdr:row>21</xdr:row>
      <xdr:rowOff>58420</xdr:rowOff>
    </xdr:to>
    <xdr:graphicFrame>
      <xdr:nvGraphicFramePr>
        <xdr:cNvPr id="2" name="Chart 1"/>
        <xdr:cNvGraphicFramePr/>
      </xdr:nvGraphicFramePr>
      <xdr:xfrm>
        <a:off x="2814320" y="11557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276860</xdr:colOff>
      <xdr:row>6</xdr:row>
      <xdr:rowOff>58420</xdr:rowOff>
    </xdr:from>
    <xdr:to>
      <xdr:col>11</xdr:col>
      <xdr:colOff>226060</xdr:colOff>
      <xdr:row>21</xdr:row>
      <xdr:rowOff>58420</xdr:rowOff>
    </xdr:to>
    <xdr:graphicFrame>
      <xdr:nvGraphicFramePr>
        <xdr:cNvPr id="2" name="Chart 1"/>
        <xdr:cNvGraphicFramePr/>
      </xdr:nvGraphicFramePr>
      <xdr:xfrm>
        <a:off x="2943860" y="11557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7620</xdr:rowOff>
    </xdr:from>
    <xdr:to>
      <xdr:col>43</xdr:col>
      <xdr:colOff>49530</xdr:colOff>
      <xdr:row>55</xdr:row>
      <xdr:rowOff>100965</xdr:rowOff>
    </xdr:to>
    <xdr:sp>
      <xdr:nvSpPr>
        <xdr:cNvPr id="2" name="Rectangles 1"/>
        <xdr:cNvSpPr/>
      </xdr:nvSpPr>
      <xdr:spPr>
        <a:xfrm>
          <a:off x="7620" y="7620"/>
          <a:ext cx="26254710" cy="10151745"/>
        </a:xfrm>
        <a:prstGeom prst="rect">
          <a:avLst/>
        </a:prstGeom>
        <a:solidFill>
          <a:schemeClr val="accent5">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393700</xdr:colOff>
      <xdr:row>1</xdr:row>
      <xdr:rowOff>46355</xdr:rowOff>
    </xdr:from>
    <xdr:to>
      <xdr:col>8</xdr:col>
      <xdr:colOff>287020</xdr:colOff>
      <xdr:row>16</xdr:row>
      <xdr:rowOff>55880</xdr:rowOff>
    </xdr:to>
    <xdr:graphicFrame>
      <xdr:nvGraphicFramePr>
        <xdr:cNvPr id="3" name="Chart 2"/>
        <xdr:cNvGraphicFramePr/>
      </xdr:nvGraphicFramePr>
      <xdr:xfrm>
        <a:off x="393700" y="229235"/>
        <a:ext cx="4770120" cy="2752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386080</xdr:colOff>
      <xdr:row>17</xdr:row>
      <xdr:rowOff>153035</xdr:rowOff>
    </xdr:from>
    <xdr:to>
      <xdr:col>8</xdr:col>
      <xdr:colOff>335280</xdr:colOff>
      <xdr:row>32</xdr:row>
      <xdr:rowOff>153035</xdr:rowOff>
    </xdr:to>
    <xdr:graphicFrame>
      <xdr:nvGraphicFramePr>
        <xdr:cNvPr id="4" name="Chart 3"/>
        <xdr:cNvGraphicFramePr/>
      </xdr:nvGraphicFramePr>
      <xdr:xfrm>
        <a:off x="386080" y="3261995"/>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394970</xdr:colOff>
      <xdr:row>33</xdr:row>
      <xdr:rowOff>181610</xdr:rowOff>
    </xdr:from>
    <xdr:to>
      <xdr:col>42</xdr:col>
      <xdr:colOff>544830</xdr:colOff>
      <xdr:row>53</xdr:row>
      <xdr:rowOff>133985</xdr:rowOff>
    </xdr:to>
    <xdr:graphicFrame>
      <xdr:nvGraphicFramePr>
        <xdr:cNvPr id="6" name="Chart 5"/>
        <xdr:cNvGraphicFramePr/>
      </xdr:nvGraphicFramePr>
      <xdr:xfrm>
        <a:off x="394970" y="6216650"/>
        <a:ext cx="25753060" cy="36099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241300</xdr:colOff>
      <xdr:row>2</xdr:row>
      <xdr:rowOff>53340</xdr:rowOff>
    </xdr:from>
    <xdr:to>
      <xdr:col>12</xdr:col>
      <xdr:colOff>318135</xdr:colOff>
      <xdr:row>13</xdr:row>
      <xdr:rowOff>19685</xdr:rowOff>
    </xdr:to>
    <mc:AlternateContent xmlns:mc="http://schemas.openxmlformats.org/markup-compatibility/2006">
      <mc:Choice xmlns:a14="http://schemas.microsoft.com/office/drawing/2010/main" Requires="a14">
        <xdr:graphicFrame>
          <xdr:nvGraphicFramePr>
            <xdr:cNvPr id="7"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727700" y="419100"/>
              <a:ext cx="1905635" cy="19780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oneCellAnchor>
    <xdr:from>
      <xdr:col>13</xdr:col>
      <xdr:colOff>572135</xdr:colOff>
      <xdr:row>3</xdr:row>
      <xdr:rowOff>144780</xdr:rowOff>
    </xdr:from>
    <xdr:ext cx="9742170" cy="323850"/>
    <xdr:sp>
      <xdr:nvSpPr>
        <xdr:cNvPr id="8" name="Text Box 7"/>
        <xdr:cNvSpPr txBox="1"/>
      </xdr:nvSpPr>
      <xdr:spPr>
        <a:xfrm>
          <a:off x="8496935" y="693420"/>
          <a:ext cx="9742170" cy="3238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endParaRPr lang="en-US" sz="1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71.9150115741" refreshedBy="parth" recordCount="200">
  <cacheSource type="worksheet">
    <worksheetSource name="Table1"/>
  </cacheSource>
  <cacheFields count="10">
    <cacheField name="Customer_ID" numFmtId="0">
      <sharedItems count="3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haredItems>
    </cacheField>
    <cacheField name="Customer_Name" numFmtId="0">
      <sharedItems count="27">
        <s v="Linda Wilson"/>
        <s v="Lisa Thomas"/>
        <s v="Mary Jackson"/>
        <s v="Sarah Anderson"/>
        <s v="Michael Anderson"/>
        <s v="David Anderson"/>
        <s v="Lisa Davis"/>
        <s v="Mary Davis"/>
        <s v="Linda Brown"/>
        <s v="Emma Wilson"/>
        <s v="Emma Davis"/>
        <s v="James Davis"/>
        <s v="James Wilson"/>
        <s v="Linda Moore"/>
        <s v="Sarah Davis"/>
        <s v="James Taylor"/>
        <s v="Robert Anderson"/>
        <s v="David Smith"/>
        <s v="Linda Taylor"/>
        <s v="Linda Jackson"/>
        <s v="David Brown"/>
        <s v="Emma Taylor"/>
        <s v="Mary Wilson"/>
        <s v="John Brown"/>
        <s v="David Davis"/>
        <s v="David Thomas"/>
        <s v="Linda Davis"/>
      </sharedItems>
    </cacheField>
    <cacheField name="Region" numFmtId="0">
      <sharedItems count="5">
        <s v="West"/>
        <s v="North"/>
        <s v="Central"/>
        <s v="South"/>
        <s v="East"/>
      </sharedItems>
    </cacheField>
    <cacheField name="Product_Category" numFmtId="0">
      <sharedItems count="5">
        <s v="Electronics"/>
        <s v="Books"/>
        <s v="Furniture"/>
        <s v="Clothing"/>
        <s v="Office Supplies"/>
      </sharedItems>
    </cacheField>
    <cacheField name="Sales" numFmtId="0">
      <sharedItems containsSemiMixedTypes="0" containsString="0" containsNumber="1" minValue="258.51" maxValue="1923.66" count="200">
        <n v="1317.53"/>
        <n v="636.7"/>
        <n v="853.72"/>
        <n v="1077.92"/>
        <n v="894.55"/>
        <n v="1432.47"/>
        <n v="336.66"/>
        <n v="942.9"/>
        <n v="876.44"/>
        <n v="1410.59"/>
        <n v="806.03"/>
        <n v="827.25"/>
        <n v="1618.22"/>
        <n v="1248.82"/>
        <n v="1005.53"/>
        <n v="1034.7"/>
        <n v="1335.87"/>
        <n v="1158.94"/>
        <n v="902.19"/>
        <n v="661.09"/>
        <n v="704.28"/>
        <n v="438.76"/>
        <n v="518.07"/>
        <n v="1443.98"/>
        <n v="1277.85"/>
        <n v="1589.42"/>
        <n v="1311.26"/>
        <n v="573.32"/>
        <n v="1099.69"/>
        <n v="760.93"/>
        <n v="1502.93"/>
        <n v="1151.21"/>
        <n v="919.04"/>
        <n v="1261.34"/>
        <n v="1070.68"/>
        <n v="1506.14"/>
        <n v="1193.61"/>
        <n v="965.64"/>
        <n v="1191.58"/>
        <n v="953.3"/>
        <n v="939.09"/>
        <n v="1021.47"/>
        <n v="679.71"/>
        <n v="1101.55"/>
        <n v="833.91"/>
        <n v="1493.49"/>
        <n v="762.14"/>
        <n v="877.58"/>
        <n v="773.09"/>
        <n v="775.45"/>
        <n v="804.81"/>
        <n v="1014.09"/>
        <n v="1081.14"/>
        <n v="1014.22"/>
        <n v="1076.33"/>
        <n v="1250.71"/>
        <n v="1093.38"/>
        <n v="501.54"/>
        <n v="818.8"/>
        <n v="771.02"/>
        <n v="1350.33"/>
        <n v="1189.83"/>
        <n v="689.43"/>
        <n v="1184.25"/>
        <n v="737.31"/>
        <n v="1173.12"/>
        <n v="488.99"/>
        <n v="862.19"/>
        <n v="997.61"/>
        <n v="1001.57"/>
        <n v="1213.48"/>
        <n v="662.61"/>
        <n v="884.63"/>
        <n v="1101.28"/>
        <n v="925.31"/>
        <n v="472.38"/>
        <n v="1360.36"/>
        <n v="804.45"/>
        <n v="1215.26"/>
        <n v="925.29"/>
        <n v="688.83"/>
        <n v="845.84"/>
        <n v="727.73"/>
        <n v="1249.1"/>
        <n v="1171.18"/>
        <n v="1014.43"/>
        <n v="1572.82"/>
        <n v="1343.13"/>
        <n v="961.62"/>
        <n v="853.86"/>
        <n v="1064.19"/>
        <n v="934.27"/>
        <n v="1200.9"/>
        <n v="1226.62"/>
        <n v="1168.89"/>
        <n v="1923.66"/>
        <n v="820.19"/>
        <n v="511.74"/>
        <n v="1054.56"/>
        <n v="1681.21"/>
        <n v="379.77"/>
        <n v="1098.08"/>
        <n v="545.44"/>
        <n v="580.43"/>
        <n v="990.19"/>
        <n v="870.23"/>
        <n v="928.32"/>
        <n v="713.34"/>
        <n v="856.7"/>
        <n v="826.93"/>
        <n v="1022.23"/>
        <n v="966.3"/>
        <n v="1061.04"/>
        <n v="640.64"/>
        <n v="826.97"/>
        <n v="1456.94"/>
        <n v="1036.09"/>
        <n v="743.17"/>
        <n v="840.92"/>
        <n v="1301.89"/>
        <n v="718.04"/>
        <n v="1371.34"/>
        <n v="981.2"/>
        <n v="1143.69"/>
        <n v="917.48"/>
        <n v="967.89"/>
        <n v="840.85"/>
        <n v="1186.85"/>
        <n v="1383.3"/>
        <n v="1020.26"/>
        <n v="1205.82"/>
        <n v="1150.28"/>
        <n v="984.93"/>
        <n v="388.56"/>
        <n v="1023.21"/>
        <n v="1264.49"/>
        <n v="388.23"/>
        <n v="1353.79"/>
        <n v="822.28"/>
        <n v="706.37"/>
        <n v="556.42"/>
        <n v="873.7"/>
        <n v="1154.33"/>
        <n v="1118.34"/>
        <n v="682.24"/>
        <n v="539.77"/>
        <n v="1526.6"/>
        <n v="980.18"/>
        <n v="706.73"/>
        <n v="1622.62"/>
        <n v="741.88"/>
        <n v="1465.35"/>
        <n v="1450.71"/>
        <n v="1225.42"/>
        <n v="1286.54"/>
        <n v="728.71"/>
        <n v="1010.58"/>
        <n v="1014.56"/>
        <n v="1074.47"/>
        <n v="645.02"/>
        <n v="1227.25"/>
        <n v="933.71"/>
        <n v="1111.34"/>
        <n v="957.29"/>
        <n v="1231.26"/>
        <n v="1161.67"/>
        <n v="1029.8"/>
        <n v="875.41"/>
        <n v="585.97"/>
        <n v="697.57"/>
        <n v="258.51"/>
        <n v="1488.58"/>
        <n v="983.34"/>
        <n v="801.21"/>
        <n v="1410.06"/>
        <n v="1025.98"/>
        <n v="790.08"/>
        <n v="1163.01"/>
        <n v="309.42"/>
        <n v="745.05"/>
        <n v="1115.22"/>
        <n v="710.52"/>
        <n v="499.18"/>
        <n v="740.8"/>
        <n v="521.67"/>
        <n v="741.61"/>
        <n v="1100.1"/>
        <n v="1172.97"/>
        <n v="919.18"/>
        <n v="864.98"/>
        <n v="458.54"/>
        <n v="847"/>
        <n v="675.54"/>
        <n v="1086.93"/>
        <n v="973.26"/>
        <n v="608.66"/>
        <n v="1291.47"/>
        <n v="585.16"/>
        <n v="1109.98"/>
        <n v="750.71"/>
      </sharedItems>
    </cacheField>
    <cacheField name="Quantity" numFmtId="0">
      <sharedItems containsSemiMixedTypes="0" containsString="0" containsNumber="1" containsInteger="1" minValue="1" maxValue="19" count="19">
        <n v="12"/>
        <n v="4"/>
        <n v="5"/>
        <n v="3"/>
        <n v="19"/>
        <n v="16"/>
        <n v="13"/>
        <n v="18"/>
        <n v="15"/>
        <n v="7"/>
        <n v="2"/>
        <n v="17"/>
        <n v="1"/>
        <n v="6"/>
        <n v="14"/>
        <n v="10"/>
        <n v="8"/>
        <n v="11"/>
        <n v="9"/>
      </sharedItems>
    </cacheField>
    <cacheField name="Discount" numFmtId="0">
      <sharedItems containsSemiMixedTypes="0" containsString="0" containsNumber="1" minValue="0" maxValue="0.2" count="5">
        <n v="0.05"/>
        <n v="0.2"/>
        <n v="0.15"/>
        <n v="0.1"/>
        <n v="0"/>
      </sharedItems>
    </cacheField>
    <cacheField name="Order_Date" numFmtId="178">
      <sharedItems containsSemiMixedTypes="0" containsString="0" containsNonDate="0" containsDate="1" minDate="2024-04-10T00:00:00" maxDate="2025-04-07T00:00:00" count="148">
        <d v="2024-04-16T00:00:00"/>
        <d v="2024-04-29T00:00:00"/>
        <d v="2024-05-16T00:00:00"/>
        <d v="2024-11-12T00:00:00"/>
        <d v="2024-11-29T00:00:00"/>
        <d v="2024-12-14T00:00:00"/>
        <d v="2024-12-25T00:00:00"/>
        <d v="2024-06-23T00:00:00"/>
        <d v="2024-07-15T00:00:00"/>
        <d v="2024-11-19T00:00:00"/>
        <d v="2024-12-12T00:00:00"/>
        <d v="2025-02-05T00:00:00"/>
        <d v="2025-02-24T00:00:00"/>
        <d v="2024-06-30T00:00:00"/>
        <d v="2024-07-08T00:00:00"/>
        <d v="2024-07-14T00:00:00"/>
        <d v="2024-09-09T00:00:00"/>
        <d v="2024-09-18T00:00:00"/>
        <d v="2024-09-29T00:00:00"/>
        <d v="2024-10-28T00:00:00"/>
        <d v="2025-03-10T00:00:00"/>
        <d v="2024-08-18T00:00:00"/>
        <d v="2024-09-12T00:00:00"/>
        <d v="2024-11-17T00:00:00"/>
        <d v="2025-02-10T00:00:00"/>
        <d v="2025-02-15T00:00:00"/>
        <d v="2025-03-02T00:00:00"/>
        <d v="2024-04-14T00:00:00"/>
        <d v="2024-04-28T00:00:00"/>
        <d v="2024-06-02T00:00:00"/>
        <d v="2024-06-25T00:00:00"/>
        <d v="2024-08-15T00:00:00"/>
        <d v="2024-09-01T00:00:00"/>
        <d v="2024-04-30T00:00:00"/>
        <d v="2024-10-19T00:00:00"/>
        <d v="2024-04-24T00:00:00"/>
        <d v="2024-05-03T00:00:00"/>
        <d v="2024-05-10T00:00:00"/>
        <d v="2024-06-18T00:00:00"/>
        <d v="2024-08-30T00:00:00"/>
        <d v="2024-09-16T00:00:00"/>
        <d v="2024-11-30T00:00:00"/>
        <d v="2025-03-18T00:00:00"/>
        <d v="2025-03-27T00:00:00"/>
        <d v="2024-05-22T00:00:00"/>
        <d v="2024-06-14T00:00:00"/>
        <d v="2024-07-29T00:00:00"/>
        <d v="2024-10-02T00:00:00"/>
        <d v="2024-10-12T00:00:00"/>
        <d v="2024-11-03T00:00:00"/>
        <d v="2025-01-17T00:00:00"/>
        <d v="2025-03-29T00:00:00"/>
        <d v="2024-04-19T00:00:00"/>
        <d v="2024-10-20T00:00:00"/>
        <d v="2025-02-21T00:00:00"/>
        <d v="2025-03-20T00:00:00"/>
        <d v="2025-03-26T00:00:00"/>
        <d v="2024-05-06T00:00:00"/>
        <d v="2024-07-06T00:00:00"/>
        <d v="2025-01-06T00:00:00"/>
        <d v="2025-04-05T00:00:00"/>
        <d v="2024-06-07T00:00:00"/>
        <d v="2024-11-20T00:00:00"/>
        <d v="2025-01-01T00:00:00"/>
        <d v="2025-01-02T00:00:00"/>
        <d v="2024-04-11T00:00:00"/>
        <d v="2024-05-17T00:00:00"/>
        <d v="2024-08-05T00:00:00"/>
        <d v="2024-08-09T00:00:00"/>
        <d v="2024-10-05T00:00:00"/>
        <d v="2024-10-30T00:00:00"/>
        <d v="2025-02-19T00:00:00"/>
        <d v="2024-09-17T00:00:00"/>
        <d v="2024-11-01T00:00:00"/>
        <d v="2025-01-10T00:00:00"/>
        <d v="2025-02-25T00:00:00"/>
        <d v="2024-04-20T00:00:00"/>
        <d v="2024-04-22T00:00:00"/>
        <d v="2024-11-26T00:00:00"/>
        <d v="2025-03-09T00:00:00"/>
        <d v="2025-03-30T00:00:00"/>
        <d v="2024-06-20T00:00:00"/>
        <d v="2024-10-15T00:00:00"/>
        <d v="2024-12-04T00:00:00"/>
        <d v="2024-12-05T00:00:00"/>
        <d v="2025-01-12T00:00:00"/>
        <d v="2025-01-13T00:00:00"/>
        <d v="2025-01-16T00:00:00"/>
        <d v="2025-02-04T00:00:00"/>
        <d v="2024-05-23T00:00:00"/>
        <d v="2024-09-30T00:00:00"/>
        <d v="2025-01-03T00:00:00"/>
        <d v="2025-04-07T00:00:00"/>
        <d v="2024-06-06T00:00:00"/>
        <d v="2025-03-01T00:00:00"/>
        <d v="2024-09-22T00:00:00"/>
        <d v="2024-11-28T00:00:00"/>
        <d v="2025-01-21T00:00:00"/>
        <d v="2025-02-27T00:00:00"/>
        <d v="2024-04-10T00:00:00"/>
        <d v="2024-05-04T00:00:00"/>
        <d v="2024-10-16T00:00:00"/>
        <d v="2024-07-31T00:00:00"/>
        <d v="2024-09-23T00:00:00"/>
        <d v="2024-06-05T00:00:00"/>
        <d v="2024-06-08T00:00:00"/>
        <d v="2024-07-05T00:00:00"/>
        <d v="2024-07-21T00:00:00"/>
        <d v="2024-09-24T00:00:00"/>
        <d v="2025-03-17T00:00:00"/>
        <d v="2024-09-14T00:00:00"/>
        <d v="2024-12-24T00:00:00"/>
        <d v="2024-12-30T00:00:00"/>
        <d v="2024-06-04T00:00:00"/>
        <d v="2024-09-11T00:00:00"/>
        <d v="2025-03-22T00:00:00"/>
        <d v="2024-08-08T00:00:00"/>
        <d v="2024-10-17T00:00:00"/>
        <d v="2025-01-20T00:00:00"/>
        <d v="2025-02-07T00:00:00"/>
        <d v="2024-05-15T00:00:00"/>
        <d v="2024-10-10T00:00:00"/>
        <d v="2024-11-09T00:00:00"/>
        <d v="2024-11-16T00:00:00"/>
        <d v="2024-05-02T00:00:00"/>
        <d v="2024-08-19T00:00:00"/>
        <d v="2024-12-20T00:00:00"/>
        <d v="2024-12-21T00:00:00"/>
        <d v="2025-02-20T00:00:00"/>
        <d v="2024-05-14T00:00:00"/>
        <d v="2024-11-15T00:00:00"/>
        <d v="2025-02-17T00:00:00"/>
        <d v="2025-03-05T00:00:00"/>
        <d v="2025-03-08T00:00:00"/>
        <d v="2025-04-02T00:00:00"/>
        <d v="2024-04-27T00:00:00"/>
        <d v="2024-06-28T00:00:00"/>
        <d v="2024-07-09T00:00:00"/>
        <d v="2025-03-11T00:00:00"/>
        <d v="2025-03-25T00:00:00"/>
        <d v="2024-04-15T00:00:00"/>
        <d v="2024-05-08T00:00:00"/>
        <d v="2024-06-21T00:00:00"/>
        <d v="2024-06-27T00:00:00"/>
        <d v="2024-07-30T00:00:00"/>
        <d v="2024-08-22T00:00:00"/>
        <d v="2025-01-27T00:00:00"/>
        <d v="2025-02-02T00:00:00"/>
      </sharedItems>
    </cacheField>
    <cacheField name="Profit" numFmtId="0">
      <sharedItems containsSemiMixedTypes="0" containsString="0" containsNumber="1" minValue="64.63" maxValue="769.46" count="200">
        <n v="312.91"/>
        <n v="203.74"/>
        <n v="253.98"/>
        <n v="358.41"/>
        <n v="178.91"/>
        <n v="426.16"/>
        <n v="134.66"/>
        <n v="339.44"/>
        <n v="333.05"/>
        <n v="352.65"/>
        <n v="268"/>
        <n v="335.04"/>
        <n v="582.56"/>
        <n v="449.58"/>
        <n v="201.11"/>
        <n v="307.82"/>
        <n v="333.97"/>
        <n v="231.79"/>
        <n v="451.1"/>
        <n v="264.44"/>
        <n v="225.37"/>
        <n v="187.57"/>
        <n v="172.26"/>
        <n v="649.79"/>
        <n v="511.14"/>
        <n v="675.5"/>
        <n v="531.06"/>
        <n v="232.19"/>
        <n v="439.88"/>
        <n v="161.7"/>
        <n v="300.59"/>
        <n v="414.44"/>
        <n v="257.33"/>
        <n v="441.47"/>
        <n v="406.86"/>
        <n v="481.96"/>
        <n v="355.1"/>
        <n v="304.18"/>
        <n v="452.8"/>
        <n v="476.65"/>
        <n v="356.85"/>
        <n v="242.6"/>
        <n v="271.88"/>
        <n v="346.99"/>
        <n v="356.5"/>
        <n v="746.74"/>
        <n v="381.07"/>
        <n v="298.38"/>
        <n v="229.99"/>
        <n v="174.48"/>
        <n v="344.06"/>
        <n v="202.82"/>
        <n v="367.59"/>
        <n v="433.58"/>
        <n v="484.35"/>
        <n v="562.82"/>
        <n v="344.41"/>
        <n v="190.59"/>
        <n v="173.99"/>
        <n v="192.76"/>
        <n v="472.62"/>
        <n v="380.75"/>
        <n v="310.24"/>
        <n v="331.59"/>
        <n v="350.22"/>
        <n v="293.28"/>
        <n v="220.05"/>
        <n v="286.68"/>
        <n v="379.09"/>
        <n v="450.71"/>
        <n v="461.12"/>
        <n v="314.74"/>
        <n v="318.47"/>
        <n v="440.51"/>
        <n v="374.75"/>
        <n v="151.16"/>
        <n v="680.18"/>
        <n v="257.42"/>
        <n v="258.24"/>
        <n v="231.32"/>
        <n v="172.21"/>
        <n v="422.92"/>
        <n v="229.23"/>
        <n v="474.66"/>
        <n v="556.31"/>
        <n v="344.91"/>
        <n v="672.38"/>
        <n v="456.66"/>
        <n v="307.72"/>
        <n v="268.97"/>
        <n v="404.39"/>
        <n v="397.06"/>
        <n v="513.38"/>
        <n v="551.98"/>
        <n v="526"/>
        <n v="769.46"/>
        <n v="229.65"/>
        <n v="121.54"/>
        <n v="332.19"/>
        <n v="336.24"/>
        <n v="180.39"/>
        <n v="395.31"/>
        <n v="245.45"/>
        <n v="197.35"/>
        <n v="445.59"/>
        <n v="413.36"/>
        <n v="440.95"/>
        <n v="285.34"/>
        <n v="214.18"/>
        <n v="297.69"/>
        <n v="460"/>
        <n v="328.54"/>
        <n v="265.26"/>
        <n v="205"/>
        <n v="330.79"/>
        <n v="692.05"/>
        <n v="331.55"/>
        <n v="297.27"/>
        <n v="359.49"/>
        <n v="553.3"/>
        <n v="179.51"/>
        <n v="455.97"/>
        <n v="441.54"/>
        <n v="400.29"/>
        <n v="366.99"/>
        <n v="217.78"/>
        <n v="302.71"/>
        <n v="332.32"/>
        <n v="497.99"/>
        <n v="242.31"/>
        <n v="542.62"/>
        <n v="437.11"/>
        <n v="275.78"/>
        <n v="82.57"/>
        <n v="388.82"/>
        <n v="480.51"/>
        <n v="165.97"/>
        <n v="487.36"/>
        <n v="273.41"/>
        <n v="176.59"/>
        <n v="212.83"/>
        <n v="305.8"/>
        <n v="441.53"/>
        <n v="447.34"/>
        <n v="341.12"/>
        <n v="114.7"/>
        <n v="305.32"/>
        <n v="352.86"/>
        <n v="150.18"/>
        <n v="649.05"/>
        <n v="333.85"/>
        <n v="586.14"/>
        <n v="326.41"/>
        <n v="468.72"/>
        <n v="450.29"/>
        <n v="327.92"/>
        <n v="343.6"/>
        <n v="410.9"/>
        <n v="300.85"/>
        <n v="161.26"/>
        <n v="365.11"/>
        <n v="294.12"/>
        <n v="500.1"/>
        <n v="318.3"/>
        <n v="492.5"/>
        <n v="232.33"/>
        <n v="257.45"/>
        <n v="334.84"/>
        <n v="210.95"/>
        <n v="313.91"/>
        <n v="64.63"/>
        <n v="316.32"/>
        <n v="398.25"/>
        <n v="160.24"/>
        <n v="468.84"/>
        <n v="369.35"/>
        <n v="177.77"/>
        <n v="581.5"/>
        <n v="111.39"/>
        <n v="301.75"/>
        <n v="223.04"/>
        <n v="255.79"/>
        <n v="159.74"/>
        <n v="333.36"/>
        <n v="155.2"/>
        <n v="148.32"/>
        <n v="261.27"/>
        <n v="348.96"/>
        <n v="195.33"/>
        <n v="410.87"/>
        <n v="91.71"/>
        <n v="271.04"/>
        <n v="236.44"/>
        <n v="380.43"/>
        <n v="389.3"/>
        <n v="144.56"/>
        <n v="581.16"/>
        <n v="263.32"/>
        <n v="443.99"/>
        <n v="255.24"/>
      </sharedItems>
    </cacheField>
    <cacheField name="total sales per customer" numFmtId="0">
      <sharedItems containsSemiMixedTypes="0" containsString="0" containsNumber="1" minValue="2699.75" maxValue="11611.06" count="30">
        <n v="6549.55"/>
        <n v="6481.43"/>
        <n v="8490.18"/>
        <n v="7813.59"/>
        <n v="6666.13"/>
        <n v="2699.75"/>
        <n v="9941.88"/>
        <n v="9760.8"/>
        <n v="6505.2"/>
        <n v="4259.22"/>
        <n v="3762.29"/>
        <n v="8339"/>
        <n v="4162.44"/>
        <n v="6729.89"/>
        <n v="11611.06"/>
        <n v="3369.17"/>
        <n v="3419.2"/>
        <n v="4951.89"/>
        <n v="4640.11"/>
        <n v="4413.71"/>
        <n v="8740.18"/>
        <n v="4418.28"/>
        <n v="5913.68"/>
        <n v="7583.13"/>
        <n v="6716.52"/>
        <n v="9371.81"/>
        <n v="3906.04"/>
        <n v="10293.87"/>
        <n v="5779.05"/>
        <n v="7928.7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x v="0"/>
    <x v="0"/>
    <x v="0"/>
    <x v="0"/>
    <x v="0"/>
  </r>
  <r>
    <x v="0"/>
    <x v="1"/>
    <x v="0"/>
    <x v="1"/>
    <x v="1"/>
    <x v="1"/>
    <x v="1"/>
    <x v="1"/>
    <x v="1"/>
    <x v="0"/>
  </r>
  <r>
    <x v="0"/>
    <x v="2"/>
    <x v="0"/>
    <x v="2"/>
    <x v="2"/>
    <x v="2"/>
    <x v="2"/>
    <x v="2"/>
    <x v="2"/>
    <x v="0"/>
  </r>
  <r>
    <x v="0"/>
    <x v="1"/>
    <x v="1"/>
    <x v="2"/>
    <x v="3"/>
    <x v="3"/>
    <x v="0"/>
    <x v="3"/>
    <x v="3"/>
    <x v="0"/>
  </r>
  <r>
    <x v="0"/>
    <x v="3"/>
    <x v="0"/>
    <x v="0"/>
    <x v="4"/>
    <x v="4"/>
    <x v="1"/>
    <x v="4"/>
    <x v="4"/>
    <x v="0"/>
  </r>
  <r>
    <x v="0"/>
    <x v="4"/>
    <x v="2"/>
    <x v="2"/>
    <x v="5"/>
    <x v="5"/>
    <x v="2"/>
    <x v="5"/>
    <x v="5"/>
    <x v="0"/>
  </r>
  <r>
    <x v="0"/>
    <x v="5"/>
    <x v="1"/>
    <x v="3"/>
    <x v="6"/>
    <x v="6"/>
    <x v="1"/>
    <x v="6"/>
    <x v="6"/>
    <x v="0"/>
  </r>
  <r>
    <x v="1"/>
    <x v="6"/>
    <x v="0"/>
    <x v="1"/>
    <x v="7"/>
    <x v="7"/>
    <x v="3"/>
    <x v="7"/>
    <x v="7"/>
    <x v="1"/>
  </r>
  <r>
    <x v="1"/>
    <x v="7"/>
    <x v="3"/>
    <x v="1"/>
    <x v="8"/>
    <x v="0"/>
    <x v="0"/>
    <x v="8"/>
    <x v="8"/>
    <x v="1"/>
  </r>
  <r>
    <x v="1"/>
    <x v="8"/>
    <x v="4"/>
    <x v="0"/>
    <x v="9"/>
    <x v="8"/>
    <x v="4"/>
    <x v="9"/>
    <x v="9"/>
    <x v="1"/>
  </r>
  <r>
    <x v="1"/>
    <x v="9"/>
    <x v="3"/>
    <x v="2"/>
    <x v="10"/>
    <x v="4"/>
    <x v="0"/>
    <x v="10"/>
    <x v="10"/>
    <x v="1"/>
  </r>
  <r>
    <x v="1"/>
    <x v="6"/>
    <x v="0"/>
    <x v="4"/>
    <x v="11"/>
    <x v="9"/>
    <x v="3"/>
    <x v="11"/>
    <x v="11"/>
    <x v="1"/>
  </r>
  <r>
    <x v="1"/>
    <x v="2"/>
    <x v="2"/>
    <x v="4"/>
    <x v="12"/>
    <x v="0"/>
    <x v="1"/>
    <x v="12"/>
    <x v="12"/>
    <x v="1"/>
  </r>
  <r>
    <x v="2"/>
    <x v="10"/>
    <x v="1"/>
    <x v="1"/>
    <x v="13"/>
    <x v="10"/>
    <x v="3"/>
    <x v="13"/>
    <x v="13"/>
    <x v="2"/>
  </r>
  <r>
    <x v="2"/>
    <x v="11"/>
    <x v="0"/>
    <x v="0"/>
    <x v="14"/>
    <x v="11"/>
    <x v="1"/>
    <x v="14"/>
    <x v="14"/>
    <x v="2"/>
  </r>
  <r>
    <x v="2"/>
    <x v="12"/>
    <x v="1"/>
    <x v="2"/>
    <x v="15"/>
    <x v="8"/>
    <x v="2"/>
    <x v="15"/>
    <x v="15"/>
    <x v="2"/>
  </r>
  <r>
    <x v="2"/>
    <x v="11"/>
    <x v="3"/>
    <x v="0"/>
    <x v="16"/>
    <x v="11"/>
    <x v="4"/>
    <x v="16"/>
    <x v="16"/>
    <x v="2"/>
  </r>
  <r>
    <x v="2"/>
    <x v="12"/>
    <x v="0"/>
    <x v="0"/>
    <x v="17"/>
    <x v="4"/>
    <x v="1"/>
    <x v="17"/>
    <x v="17"/>
    <x v="2"/>
  </r>
  <r>
    <x v="2"/>
    <x v="12"/>
    <x v="2"/>
    <x v="3"/>
    <x v="18"/>
    <x v="0"/>
    <x v="4"/>
    <x v="18"/>
    <x v="18"/>
    <x v="2"/>
  </r>
  <r>
    <x v="2"/>
    <x v="13"/>
    <x v="1"/>
    <x v="3"/>
    <x v="19"/>
    <x v="12"/>
    <x v="1"/>
    <x v="19"/>
    <x v="19"/>
    <x v="2"/>
  </r>
  <r>
    <x v="2"/>
    <x v="3"/>
    <x v="3"/>
    <x v="1"/>
    <x v="20"/>
    <x v="8"/>
    <x v="1"/>
    <x v="12"/>
    <x v="20"/>
    <x v="2"/>
  </r>
  <r>
    <x v="2"/>
    <x v="10"/>
    <x v="4"/>
    <x v="4"/>
    <x v="21"/>
    <x v="7"/>
    <x v="0"/>
    <x v="20"/>
    <x v="21"/>
    <x v="2"/>
  </r>
  <r>
    <x v="3"/>
    <x v="1"/>
    <x v="1"/>
    <x v="2"/>
    <x v="22"/>
    <x v="9"/>
    <x v="0"/>
    <x v="21"/>
    <x v="22"/>
    <x v="3"/>
  </r>
  <r>
    <x v="3"/>
    <x v="14"/>
    <x v="0"/>
    <x v="4"/>
    <x v="23"/>
    <x v="4"/>
    <x v="4"/>
    <x v="22"/>
    <x v="23"/>
    <x v="3"/>
  </r>
  <r>
    <x v="3"/>
    <x v="15"/>
    <x v="2"/>
    <x v="3"/>
    <x v="24"/>
    <x v="7"/>
    <x v="1"/>
    <x v="23"/>
    <x v="24"/>
    <x v="3"/>
  </r>
  <r>
    <x v="3"/>
    <x v="7"/>
    <x v="1"/>
    <x v="3"/>
    <x v="25"/>
    <x v="13"/>
    <x v="2"/>
    <x v="6"/>
    <x v="25"/>
    <x v="3"/>
  </r>
  <r>
    <x v="3"/>
    <x v="11"/>
    <x v="4"/>
    <x v="4"/>
    <x v="26"/>
    <x v="13"/>
    <x v="3"/>
    <x v="24"/>
    <x v="26"/>
    <x v="3"/>
  </r>
  <r>
    <x v="3"/>
    <x v="7"/>
    <x v="3"/>
    <x v="4"/>
    <x v="27"/>
    <x v="4"/>
    <x v="3"/>
    <x v="25"/>
    <x v="27"/>
    <x v="3"/>
  </r>
  <r>
    <x v="3"/>
    <x v="0"/>
    <x v="4"/>
    <x v="1"/>
    <x v="28"/>
    <x v="13"/>
    <x v="4"/>
    <x v="26"/>
    <x v="28"/>
    <x v="3"/>
  </r>
  <r>
    <x v="4"/>
    <x v="16"/>
    <x v="3"/>
    <x v="0"/>
    <x v="29"/>
    <x v="1"/>
    <x v="2"/>
    <x v="27"/>
    <x v="29"/>
    <x v="4"/>
  </r>
  <r>
    <x v="4"/>
    <x v="3"/>
    <x v="3"/>
    <x v="0"/>
    <x v="30"/>
    <x v="14"/>
    <x v="1"/>
    <x v="28"/>
    <x v="30"/>
    <x v="4"/>
  </r>
  <r>
    <x v="4"/>
    <x v="17"/>
    <x v="3"/>
    <x v="1"/>
    <x v="31"/>
    <x v="8"/>
    <x v="3"/>
    <x v="29"/>
    <x v="31"/>
    <x v="4"/>
  </r>
  <r>
    <x v="4"/>
    <x v="16"/>
    <x v="3"/>
    <x v="2"/>
    <x v="32"/>
    <x v="15"/>
    <x v="1"/>
    <x v="30"/>
    <x v="32"/>
    <x v="4"/>
  </r>
  <r>
    <x v="4"/>
    <x v="18"/>
    <x v="2"/>
    <x v="2"/>
    <x v="33"/>
    <x v="3"/>
    <x v="4"/>
    <x v="31"/>
    <x v="33"/>
    <x v="4"/>
  </r>
  <r>
    <x v="4"/>
    <x v="6"/>
    <x v="2"/>
    <x v="1"/>
    <x v="34"/>
    <x v="9"/>
    <x v="0"/>
    <x v="32"/>
    <x v="34"/>
    <x v="4"/>
  </r>
  <r>
    <x v="5"/>
    <x v="2"/>
    <x v="0"/>
    <x v="1"/>
    <x v="35"/>
    <x v="6"/>
    <x v="1"/>
    <x v="33"/>
    <x v="35"/>
    <x v="5"/>
  </r>
  <r>
    <x v="5"/>
    <x v="5"/>
    <x v="0"/>
    <x v="2"/>
    <x v="36"/>
    <x v="12"/>
    <x v="2"/>
    <x v="34"/>
    <x v="36"/>
    <x v="5"/>
  </r>
  <r>
    <x v="6"/>
    <x v="4"/>
    <x v="1"/>
    <x v="2"/>
    <x v="37"/>
    <x v="16"/>
    <x v="3"/>
    <x v="0"/>
    <x v="37"/>
    <x v="6"/>
  </r>
  <r>
    <x v="6"/>
    <x v="4"/>
    <x v="2"/>
    <x v="1"/>
    <x v="38"/>
    <x v="14"/>
    <x v="0"/>
    <x v="35"/>
    <x v="38"/>
    <x v="6"/>
  </r>
  <r>
    <x v="6"/>
    <x v="6"/>
    <x v="3"/>
    <x v="3"/>
    <x v="39"/>
    <x v="17"/>
    <x v="4"/>
    <x v="36"/>
    <x v="39"/>
    <x v="6"/>
  </r>
  <r>
    <x v="6"/>
    <x v="16"/>
    <x v="2"/>
    <x v="1"/>
    <x v="40"/>
    <x v="10"/>
    <x v="0"/>
    <x v="37"/>
    <x v="40"/>
    <x v="6"/>
  </r>
  <r>
    <x v="6"/>
    <x v="19"/>
    <x v="3"/>
    <x v="0"/>
    <x v="41"/>
    <x v="13"/>
    <x v="0"/>
    <x v="38"/>
    <x v="41"/>
    <x v="6"/>
  </r>
  <r>
    <x v="6"/>
    <x v="20"/>
    <x v="1"/>
    <x v="1"/>
    <x v="42"/>
    <x v="4"/>
    <x v="4"/>
    <x v="39"/>
    <x v="42"/>
    <x v="6"/>
  </r>
  <r>
    <x v="6"/>
    <x v="21"/>
    <x v="0"/>
    <x v="2"/>
    <x v="43"/>
    <x v="1"/>
    <x v="3"/>
    <x v="40"/>
    <x v="43"/>
    <x v="6"/>
  </r>
  <r>
    <x v="6"/>
    <x v="10"/>
    <x v="1"/>
    <x v="4"/>
    <x v="44"/>
    <x v="3"/>
    <x v="0"/>
    <x v="41"/>
    <x v="44"/>
    <x v="6"/>
  </r>
  <r>
    <x v="6"/>
    <x v="20"/>
    <x v="0"/>
    <x v="3"/>
    <x v="45"/>
    <x v="7"/>
    <x v="4"/>
    <x v="42"/>
    <x v="45"/>
    <x v="6"/>
  </r>
  <r>
    <x v="6"/>
    <x v="11"/>
    <x v="3"/>
    <x v="3"/>
    <x v="46"/>
    <x v="18"/>
    <x v="4"/>
    <x v="43"/>
    <x v="46"/>
    <x v="6"/>
  </r>
  <r>
    <x v="7"/>
    <x v="16"/>
    <x v="3"/>
    <x v="1"/>
    <x v="47"/>
    <x v="15"/>
    <x v="2"/>
    <x v="1"/>
    <x v="47"/>
    <x v="7"/>
  </r>
  <r>
    <x v="7"/>
    <x v="22"/>
    <x v="2"/>
    <x v="2"/>
    <x v="48"/>
    <x v="6"/>
    <x v="2"/>
    <x v="44"/>
    <x v="48"/>
    <x v="7"/>
  </r>
  <r>
    <x v="7"/>
    <x v="23"/>
    <x v="3"/>
    <x v="0"/>
    <x v="49"/>
    <x v="13"/>
    <x v="3"/>
    <x v="45"/>
    <x v="49"/>
    <x v="7"/>
  </r>
  <r>
    <x v="7"/>
    <x v="11"/>
    <x v="2"/>
    <x v="4"/>
    <x v="50"/>
    <x v="12"/>
    <x v="0"/>
    <x v="46"/>
    <x v="50"/>
    <x v="7"/>
  </r>
  <r>
    <x v="7"/>
    <x v="24"/>
    <x v="2"/>
    <x v="0"/>
    <x v="51"/>
    <x v="6"/>
    <x v="1"/>
    <x v="47"/>
    <x v="51"/>
    <x v="7"/>
  </r>
  <r>
    <x v="7"/>
    <x v="12"/>
    <x v="4"/>
    <x v="1"/>
    <x v="52"/>
    <x v="4"/>
    <x v="2"/>
    <x v="48"/>
    <x v="52"/>
    <x v="7"/>
  </r>
  <r>
    <x v="7"/>
    <x v="12"/>
    <x v="4"/>
    <x v="4"/>
    <x v="53"/>
    <x v="14"/>
    <x v="0"/>
    <x v="49"/>
    <x v="53"/>
    <x v="7"/>
  </r>
  <r>
    <x v="7"/>
    <x v="1"/>
    <x v="2"/>
    <x v="3"/>
    <x v="54"/>
    <x v="10"/>
    <x v="3"/>
    <x v="50"/>
    <x v="54"/>
    <x v="7"/>
  </r>
  <r>
    <x v="7"/>
    <x v="7"/>
    <x v="2"/>
    <x v="4"/>
    <x v="55"/>
    <x v="9"/>
    <x v="4"/>
    <x v="50"/>
    <x v="55"/>
    <x v="7"/>
  </r>
  <r>
    <x v="7"/>
    <x v="9"/>
    <x v="4"/>
    <x v="2"/>
    <x v="56"/>
    <x v="11"/>
    <x v="3"/>
    <x v="51"/>
    <x v="56"/>
    <x v="7"/>
  </r>
  <r>
    <x v="8"/>
    <x v="19"/>
    <x v="2"/>
    <x v="1"/>
    <x v="57"/>
    <x v="17"/>
    <x v="0"/>
    <x v="52"/>
    <x v="57"/>
    <x v="8"/>
  </r>
  <r>
    <x v="8"/>
    <x v="10"/>
    <x v="1"/>
    <x v="0"/>
    <x v="58"/>
    <x v="8"/>
    <x v="2"/>
    <x v="30"/>
    <x v="58"/>
    <x v="8"/>
  </r>
  <r>
    <x v="8"/>
    <x v="10"/>
    <x v="3"/>
    <x v="0"/>
    <x v="59"/>
    <x v="12"/>
    <x v="4"/>
    <x v="53"/>
    <x v="59"/>
    <x v="8"/>
  </r>
  <r>
    <x v="8"/>
    <x v="9"/>
    <x v="3"/>
    <x v="2"/>
    <x v="60"/>
    <x v="15"/>
    <x v="4"/>
    <x v="9"/>
    <x v="60"/>
    <x v="8"/>
  </r>
  <r>
    <x v="8"/>
    <x v="7"/>
    <x v="1"/>
    <x v="1"/>
    <x v="61"/>
    <x v="10"/>
    <x v="1"/>
    <x v="54"/>
    <x v="61"/>
    <x v="8"/>
  </r>
  <r>
    <x v="8"/>
    <x v="18"/>
    <x v="3"/>
    <x v="3"/>
    <x v="62"/>
    <x v="18"/>
    <x v="3"/>
    <x v="55"/>
    <x v="62"/>
    <x v="8"/>
  </r>
  <r>
    <x v="8"/>
    <x v="4"/>
    <x v="3"/>
    <x v="2"/>
    <x v="63"/>
    <x v="17"/>
    <x v="1"/>
    <x v="56"/>
    <x v="63"/>
    <x v="8"/>
  </r>
  <r>
    <x v="9"/>
    <x v="25"/>
    <x v="2"/>
    <x v="3"/>
    <x v="64"/>
    <x v="10"/>
    <x v="0"/>
    <x v="52"/>
    <x v="64"/>
    <x v="9"/>
  </r>
  <r>
    <x v="9"/>
    <x v="8"/>
    <x v="3"/>
    <x v="0"/>
    <x v="65"/>
    <x v="7"/>
    <x v="4"/>
    <x v="57"/>
    <x v="65"/>
    <x v="9"/>
  </r>
  <r>
    <x v="9"/>
    <x v="20"/>
    <x v="2"/>
    <x v="4"/>
    <x v="66"/>
    <x v="18"/>
    <x v="4"/>
    <x v="58"/>
    <x v="66"/>
    <x v="9"/>
  </r>
  <r>
    <x v="9"/>
    <x v="0"/>
    <x v="0"/>
    <x v="2"/>
    <x v="67"/>
    <x v="7"/>
    <x v="0"/>
    <x v="59"/>
    <x v="67"/>
    <x v="9"/>
  </r>
  <r>
    <x v="9"/>
    <x v="25"/>
    <x v="4"/>
    <x v="1"/>
    <x v="68"/>
    <x v="16"/>
    <x v="0"/>
    <x v="60"/>
    <x v="68"/>
    <x v="9"/>
  </r>
  <r>
    <x v="10"/>
    <x v="7"/>
    <x v="1"/>
    <x v="4"/>
    <x v="69"/>
    <x v="0"/>
    <x v="4"/>
    <x v="61"/>
    <x v="69"/>
    <x v="10"/>
  </r>
  <r>
    <x v="10"/>
    <x v="9"/>
    <x v="4"/>
    <x v="1"/>
    <x v="70"/>
    <x v="2"/>
    <x v="0"/>
    <x v="62"/>
    <x v="70"/>
    <x v="10"/>
  </r>
  <r>
    <x v="10"/>
    <x v="13"/>
    <x v="2"/>
    <x v="3"/>
    <x v="71"/>
    <x v="17"/>
    <x v="0"/>
    <x v="63"/>
    <x v="71"/>
    <x v="10"/>
  </r>
  <r>
    <x v="10"/>
    <x v="0"/>
    <x v="1"/>
    <x v="1"/>
    <x v="72"/>
    <x v="7"/>
    <x v="3"/>
    <x v="64"/>
    <x v="72"/>
    <x v="10"/>
  </r>
  <r>
    <x v="11"/>
    <x v="16"/>
    <x v="0"/>
    <x v="3"/>
    <x v="73"/>
    <x v="3"/>
    <x v="1"/>
    <x v="65"/>
    <x v="73"/>
    <x v="11"/>
  </r>
  <r>
    <x v="11"/>
    <x v="7"/>
    <x v="2"/>
    <x v="4"/>
    <x v="74"/>
    <x v="16"/>
    <x v="3"/>
    <x v="57"/>
    <x v="74"/>
    <x v="11"/>
  </r>
  <r>
    <x v="11"/>
    <x v="4"/>
    <x v="0"/>
    <x v="1"/>
    <x v="75"/>
    <x v="0"/>
    <x v="1"/>
    <x v="66"/>
    <x v="75"/>
    <x v="11"/>
  </r>
  <r>
    <x v="11"/>
    <x v="22"/>
    <x v="0"/>
    <x v="3"/>
    <x v="76"/>
    <x v="11"/>
    <x v="4"/>
    <x v="13"/>
    <x v="76"/>
    <x v="11"/>
  </r>
  <r>
    <x v="11"/>
    <x v="5"/>
    <x v="3"/>
    <x v="1"/>
    <x v="77"/>
    <x v="2"/>
    <x v="1"/>
    <x v="67"/>
    <x v="77"/>
    <x v="11"/>
  </r>
  <r>
    <x v="11"/>
    <x v="0"/>
    <x v="0"/>
    <x v="0"/>
    <x v="78"/>
    <x v="2"/>
    <x v="2"/>
    <x v="68"/>
    <x v="78"/>
    <x v="11"/>
  </r>
  <r>
    <x v="11"/>
    <x v="6"/>
    <x v="1"/>
    <x v="0"/>
    <x v="79"/>
    <x v="11"/>
    <x v="4"/>
    <x v="69"/>
    <x v="79"/>
    <x v="11"/>
  </r>
  <r>
    <x v="11"/>
    <x v="20"/>
    <x v="0"/>
    <x v="0"/>
    <x v="80"/>
    <x v="8"/>
    <x v="4"/>
    <x v="70"/>
    <x v="80"/>
    <x v="11"/>
  </r>
  <r>
    <x v="11"/>
    <x v="1"/>
    <x v="1"/>
    <x v="3"/>
    <x v="81"/>
    <x v="1"/>
    <x v="4"/>
    <x v="71"/>
    <x v="81"/>
    <x v="11"/>
  </r>
  <r>
    <x v="12"/>
    <x v="16"/>
    <x v="3"/>
    <x v="2"/>
    <x v="82"/>
    <x v="12"/>
    <x v="3"/>
    <x v="72"/>
    <x v="82"/>
    <x v="12"/>
  </r>
  <r>
    <x v="12"/>
    <x v="0"/>
    <x v="2"/>
    <x v="1"/>
    <x v="83"/>
    <x v="1"/>
    <x v="0"/>
    <x v="73"/>
    <x v="83"/>
    <x v="12"/>
  </r>
  <r>
    <x v="12"/>
    <x v="22"/>
    <x v="1"/>
    <x v="3"/>
    <x v="84"/>
    <x v="4"/>
    <x v="0"/>
    <x v="74"/>
    <x v="84"/>
    <x v="12"/>
  </r>
  <r>
    <x v="12"/>
    <x v="18"/>
    <x v="2"/>
    <x v="1"/>
    <x v="85"/>
    <x v="10"/>
    <x v="2"/>
    <x v="75"/>
    <x v="85"/>
    <x v="12"/>
  </r>
  <r>
    <x v="13"/>
    <x v="10"/>
    <x v="0"/>
    <x v="4"/>
    <x v="86"/>
    <x v="13"/>
    <x v="0"/>
    <x v="76"/>
    <x v="86"/>
    <x v="13"/>
  </r>
  <r>
    <x v="13"/>
    <x v="25"/>
    <x v="2"/>
    <x v="1"/>
    <x v="87"/>
    <x v="14"/>
    <x v="2"/>
    <x v="77"/>
    <x v="87"/>
    <x v="13"/>
  </r>
  <r>
    <x v="13"/>
    <x v="14"/>
    <x v="3"/>
    <x v="1"/>
    <x v="88"/>
    <x v="16"/>
    <x v="1"/>
    <x v="48"/>
    <x v="88"/>
    <x v="13"/>
  </r>
  <r>
    <x v="13"/>
    <x v="5"/>
    <x v="3"/>
    <x v="2"/>
    <x v="89"/>
    <x v="16"/>
    <x v="3"/>
    <x v="78"/>
    <x v="89"/>
    <x v="13"/>
  </r>
  <r>
    <x v="13"/>
    <x v="10"/>
    <x v="3"/>
    <x v="1"/>
    <x v="90"/>
    <x v="7"/>
    <x v="0"/>
    <x v="79"/>
    <x v="90"/>
    <x v="13"/>
  </r>
  <r>
    <x v="13"/>
    <x v="3"/>
    <x v="0"/>
    <x v="3"/>
    <x v="91"/>
    <x v="16"/>
    <x v="2"/>
    <x v="80"/>
    <x v="91"/>
    <x v="13"/>
  </r>
  <r>
    <x v="14"/>
    <x v="18"/>
    <x v="1"/>
    <x v="4"/>
    <x v="92"/>
    <x v="14"/>
    <x v="0"/>
    <x v="66"/>
    <x v="92"/>
    <x v="14"/>
  </r>
  <r>
    <x v="14"/>
    <x v="12"/>
    <x v="3"/>
    <x v="3"/>
    <x v="93"/>
    <x v="9"/>
    <x v="3"/>
    <x v="81"/>
    <x v="93"/>
    <x v="14"/>
  </r>
  <r>
    <x v="14"/>
    <x v="25"/>
    <x v="0"/>
    <x v="3"/>
    <x v="94"/>
    <x v="1"/>
    <x v="3"/>
    <x v="16"/>
    <x v="94"/>
    <x v="14"/>
  </r>
  <r>
    <x v="14"/>
    <x v="12"/>
    <x v="0"/>
    <x v="3"/>
    <x v="95"/>
    <x v="18"/>
    <x v="1"/>
    <x v="82"/>
    <x v="95"/>
    <x v="14"/>
  </r>
  <r>
    <x v="14"/>
    <x v="5"/>
    <x v="0"/>
    <x v="2"/>
    <x v="96"/>
    <x v="1"/>
    <x v="1"/>
    <x v="83"/>
    <x v="96"/>
    <x v="14"/>
  </r>
  <r>
    <x v="14"/>
    <x v="10"/>
    <x v="2"/>
    <x v="0"/>
    <x v="97"/>
    <x v="16"/>
    <x v="0"/>
    <x v="84"/>
    <x v="97"/>
    <x v="14"/>
  </r>
  <r>
    <x v="14"/>
    <x v="16"/>
    <x v="3"/>
    <x v="2"/>
    <x v="98"/>
    <x v="17"/>
    <x v="3"/>
    <x v="85"/>
    <x v="98"/>
    <x v="14"/>
  </r>
  <r>
    <x v="14"/>
    <x v="12"/>
    <x v="1"/>
    <x v="0"/>
    <x v="99"/>
    <x v="2"/>
    <x v="1"/>
    <x v="86"/>
    <x v="99"/>
    <x v="14"/>
  </r>
  <r>
    <x v="14"/>
    <x v="25"/>
    <x v="0"/>
    <x v="3"/>
    <x v="100"/>
    <x v="18"/>
    <x v="0"/>
    <x v="87"/>
    <x v="100"/>
    <x v="14"/>
  </r>
  <r>
    <x v="14"/>
    <x v="1"/>
    <x v="4"/>
    <x v="1"/>
    <x v="101"/>
    <x v="18"/>
    <x v="3"/>
    <x v="88"/>
    <x v="101"/>
    <x v="14"/>
  </r>
  <r>
    <x v="14"/>
    <x v="3"/>
    <x v="0"/>
    <x v="4"/>
    <x v="102"/>
    <x v="11"/>
    <x v="4"/>
    <x v="60"/>
    <x v="102"/>
    <x v="14"/>
  </r>
  <r>
    <x v="15"/>
    <x v="9"/>
    <x v="4"/>
    <x v="1"/>
    <x v="103"/>
    <x v="4"/>
    <x v="2"/>
    <x v="89"/>
    <x v="103"/>
    <x v="15"/>
  </r>
  <r>
    <x v="15"/>
    <x v="4"/>
    <x v="1"/>
    <x v="3"/>
    <x v="104"/>
    <x v="16"/>
    <x v="3"/>
    <x v="90"/>
    <x v="104"/>
    <x v="15"/>
  </r>
  <r>
    <x v="15"/>
    <x v="15"/>
    <x v="3"/>
    <x v="3"/>
    <x v="105"/>
    <x v="2"/>
    <x v="0"/>
    <x v="91"/>
    <x v="105"/>
    <x v="15"/>
  </r>
  <r>
    <x v="15"/>
    <x v="25"/>
    <x v="3"/>
    <x v="3"/>
    <x v="106"/>
    <x v="10"/>
    <x v="0"/>
    <x v="92"/>
    <x v="106"/>
    <x v="15"/>
  </r>
  <r>
    <x v="16"/>
    <x v="15"/>
    <x v="4"/>
    <x v="1"/>
    <x v="107"/>
    <x v="11"/>
    <x v="4"/>
    <x v="27"/>
    <x v="107"/>
    <x v="16"/>
  </r>
  <r>
    <x v="16"/>
    <x v="26"/>
    <x v="2"/>
    <x v="0"/>
    <x v="108"/>
    <x v="10"/>
    <x v="4"/>
    <x v="93"/>
    <x v="108"/>
    <x v="16"/>
  </r>
  <r>
    <x v="16"/>
    <x v="14"/>
    <x v="0"/>
    <x v="4"/>
    <x v="109"/>
    <x v="15"/>
    <x v="1"/>
    <x v="18"/>
    <x v="109"/>
    <x v="16"/>
  </r>
  <r>
    <x v="16"/>
    <x v="7"/>
    <x v="2"/>
    <x v="3"/>
    <x v="110"/>
    <x v="16"/>
    <x v="3"/>
    <x v="94"/>
    <x v="110"/>
    <x v="16"/>
  </r>
  <r>
    <x v="17"/>
    <x v="2"/>
    <x v="3"/>
    <x v="1"/>
    <x v="111"/>
    <x v="10"/>
    <x v="2"/>
    <x v="95"/>
    <x v="111"/>
    <x v="17"/>
  </r>
  <r>
    <x v="17"/>
    <x v="1"/>
    <x v="3"/>
    <x v="0"/>
    <x v="112"/>
    <x v="12"/>
    <x v="4"/>
    <x v="96"/>
    <x v="112"/>
    <x v="17"/>
  </r>
  <r>
    <x v="17"/>
    <x v="6"/>
    <x v="1"/>
    <x v="1"/>
    <x v="113"/>
    <x v="17"/>
    <x v="1"/>
    <x v="97"/>
    <x v="113"/>
    <x v="17"/>
  </r>
  <r>
    <x v="17"/>
    <x v="7"/>
    <x v="2"/>
    <x v="3"/>
    <x v="114"/>
    <x v="7"/>
    <x v="1"/>
    <x v="98"/>
    <x v="114"/>
    <x v="17"/>
  </r>
  <r>
    <x v="17"/>
    <x v="5"/>
    <x v="2"/>
    <x v="3"/>
    <x v="115"/>
    <x v="14"/>
    <x v="0"/>
    <x v="51"/>
    <x v="115"/>
    <x v="17"/>
  </r>
  <r>
    <x v="18"/>
    <x v="11"/>
    <x v="0"/>
    <x v="1"/>
    <x v="116"/>
    <x v="1"/>
    <x v="1"/>
    <x v="99"/>
    <x v="116"/>
    <x v="18"/>
  </r>
  <r>
    <x v="18"/>
    <x v="7"/>
    <x v="0"/>
    <x v="1"/>
    <x v="117"/>
    <x v="18"/>
    <x v="4"/>
    <x v="100"/>
    <x v="117"/>
    <x v="18"/>
  </r>
  <r>
    <x v="18"/>
    <x v="20"/>
    <x v="4"/>
    <x v="4"/>
    <x v="118"/>
    <x v="18"/>
    <x v="0"/>
    <x v="66"/>
    <x v="118"/>
    <x v="18"/>
  </r>
  <r>
    <x v="18"/>
    <x v="19"/>
    <x v="2"/>
    <x v="3"/>
    <x v="119"/>
    <x v="9"/>
    <x v="2"/>
    <x v="101"/>
    <x v="119"/>
    <x v="18"/>
  </r>
  <r>
    <x v="18"/>
    <x v="15"/>
    <x v="3"/>
    <x v="0"/>
    <x v="120"/>
    <x v="14"/>
    <x v="4"/>
    <x v="23"/>
    <x v="120"/>
    <x v="18"/>
  </r>
  <r>
    <x v="19"/>
    <x v="20"/>
    <x v="0"/>
    <x v="2"/>
    <x v="121"/>
    <x v="2"/>
    <x v="0"/>
    <x v="8"/>
    <x v="121"/>
    <x v="19"/>
  </r>
  <r>
    <x v="19"/>
    <x v="13"/>
    <x v="3"/>
    <x v="4"/>
    <x v="122"/>
    <x v="4"/>
    <x v="4"/>
    <x v="102"/>
    <x v="122"/>
    <x v="19"/>
  </r>
  <r>
    <x v="19"/>
    <x v="19"/>
    <x v="4"/>
    <x v="2"/>
    <x v="123"/>
    <x v="11"/>
    <x v="4"/>
    <x v="39"/>
    <x v="123"/>
    <x v="19"/>
  </r>
  <r>
    <x v="19"/>
    <x v="15"/>
    <x v="3"/>
    <x v="1"/>
    <x v="124"/>
    <x v="13"/>
    <x v="4"/>
    <x v="103"/>
    <x v="124"/>
    <x v="19"/>
  </r>
  <r>
    <x v="20"/>
    <x v="3"/>
    <x v="3"/>
    <x v="0"/>
    <x v="125"/>
    <x v="15"/>
    <x v="3"/>
    <x v="66"/>
    <x v="125"/>
    <x v="20"/>
  </r>
  <r>
    <x v="20"/>
    <x v="12"/>
    <x v="2"/>
    <x v="1"/>
    <x v="126"/>
    <x v="4"/>
    <x v="3"/>
    <x v="104"/>
    <x v="126"/>
    <x v="20"/>
  </r>
  <r>
    <x v="20"/>
    <x v="4"/>
    <x v="4"/>
    <x v="2"/>
    <x v="127"/>
    <x v="4"/>
    <x v="1"/>
    <x v="105"/>
    <x v="127"/>
    <x v="20"/>
  </r>
  <r>
    <x v="20"/>
    <x v="7"/>
    <x v="4"/>
    <x v="1"/>
    <x v="128"/>
    <x v="16"/>
    <x v="3"/>
    <x v="106"/>
    <x v="128"/>
    <x v="20"/>
  </r>
  <r>
    <x v="20"/>
    <x v="2"/>
    <x v="1"/>
    <x v="0"/>
    <x v="129"/>
    <x v="17"/>
    <x v="0"/>
    <x v="107"/>
    <x v="129"/>
    <x v="20"/>
  </r>
  <r>
    <x v="20"/>
    <x v="12"/>
    <x v="1"/>
    <x v="3"/>
    <x v="130"/>
    <x v="17"/>
    <x v="3"/>
    <x v="108"/>
    <x v="130"/>
    <x v="20"/>
  </r>
  <r>
    <x v="20"/>
    <x v="10"/>
    <x v="2"/>
    <x v="1"/>
    <x v="131"/>
    <x v="16"/>
    <x v="0"/>
    <x v="78"/>
    <x v="131"/>
    <x v="20"/>
  </r>
  <r>
    <x v="20"/>
    <x v="20"/>
    <x v="0"/>
    <x v="2"/>
    <x v="132"/>
    <x v="14"/>
    <x v="1"/>
    <x v="109"/>
    <x v="132"/>
    <x v="20"/>
  </r>
  <r>
    <x v="21"/>
    <x v="16"/>
    <x v="1"/>
    <x v="0"/>
    <x v="133"/>
    <x v="14"/>
    <x v="2"/>
    <x v="100"/>
    <x v="133"/>
    <x v="21"/>
  </r>
  <r>
    <x v="21"/>
    <x v="24"/>
    <x v="2"/>
    <x v="1"/>
    <x v="134"/>
    <x v="7"/>
    <x v="0"/>
    <x v="2"/>
    <x v="134"/>
    <x v="21"/>
  </r>
  <r>
    <x v="21"/>
    <x v="8"/>
    <x v="3"/>
    <x v="1"/>
    <x v="135"/>
    <x v="5"/>
    <x v="0"/>
    <x v="110"/>
    <x v="135"/>
    <x v="21"/>
  </r>
  <r>
    <x v="21"/>
    <x v="1"/>
    <x v="2"/>
    <x v="4"/>
    <x v="136"/>
    <x v="5"/>
    <x v="0"/>
    <x v="111"/>
    <x v="136"/>
    <x v="21"/>
  </r>
  <r>
    <x v="21"/>
    <x v="12"/>
    <x v="0"/>
    <x v="1"/>
    <x v="137"/>
    <x v="14"/>
    <x v="3"/>
    <x v="112"/>
    <x v="137"/>
    <x v="21"/>
  </r>
  <r>
    <x v="22"/>
    <x v="16"/>
    <x v="0"/>
    <x v="2"/>
    <x v="138"/>
    <x v="9"/>
    <x v="0"/>
    <x v="35"/>
    <x v="138"/>
    <x v="22"/>
  </r>
  <r>
    <x v="22"/>
    <x v="7"/>
    <x v="2"/>
    <x v="0"/>
    <x v="139"/>
    <x v="13"/>
    <x v="4"/>
    <x v="100"/>
    <x v="139"/>
    <x v="22"/>
  </r>
  <r>
    <x v="22"/>
    <x v="24"/>
    <x v="4"/>
    <x v="4"/>
    <x v="140"/>
    <x v="17"/>
    <x v="2"/>
    <x v="113"/>
    <x v="140"/>
    <x v="22"/>
  </r>
  <r>
    <x v="22"/>
    <x v="20"/>
    <x v="4"/>
    <x v="2"/>
    <x v="141"/>
    <x v="18"/>
    <x v="4"/>
    <x v="114"/>
    <x v="141"/>
    <x v="22"/>
  </r>
  <r>
    <x v="22"/>
    <x v="12"/>
    <x v="4"/>
    <x v="4"/>
    <x v="142"/>
    <x v="17"/>
    <x v="2"/>
    <x v="110"/>
    <x v="142"/>
    <x v="22"/>
  </r>
  <r>
    <x v="22"/>
    <x v="15"/>
    <x v="3"/>
    <x v="3"/>
    <x v="143"/>
    <x v="13"/>
    <x v="1"/>
    <x v="50"/>
    <x v="143"/>
    <x v="22"/>
  </r>
  <r>
    <x v="22"/>
    <x v="22"/>
    <x v="3"/>
    <x v="3"/>
    <x v="144"/>
    <x v="12"/>
    <x v="4"/>
    <x v="115"/>
    <x v="144"/>
    <x v="22"/>
  </r>
  <r>
    <x v="23"/>
    <x v="20"/>
    <x v="4"/>
    <x v="0"/>
    <x v="145"/>
    <x v="15"/>
    <x v="2"/>
    <x v="67"/>
    <x v="145"/>
    <x v="23"/>
  </r>
  <r>
    <x v="23"/>
    <x v="10"/>
    <x v="0"/>
    <x v="0"/>
    <x v="146"/>
    <x v="6"/>
    <x v="1"/>
    <x v="116"/>
    <x v="146"/>
    <x v="23"/>
  </r>
  <r>
    <x v="23"/>
    <x v="21"/>
    <x v="4"/>
    <x v="1"/>
    <x v="147"/>
    <x v="5"/>
    <x v="3"/>
    <x v="117"/>
    <x v="147"/>
    <x v="23"/>
  </r>
  <r>
    <x v="23"/>
    <x v="12"/>
    <x v="1"/>
    <x v="0"/>
    <x v="148"/>
    <x v="12"/>
    <x v="2"/>
    <x v="23"/>
    <x v="148"/>
    <x v="23"/>
  </r>
  <r>
    <x v="23"/>
    <x v="18"/>
    <x v="1"/>
    <x v="3"/>
    <x v="149"/>
    <x v="0"/>
    <x v="1"/>
    <x v="118"/>
    <x v="149"/>
    <x v="23"/>
  </r>
  <r>
    <x v="23"/>
    <x v="0"/>
    <x v="2"/>
    <x v="3"/>
    <x v="150"/>
    <x v="5"/>
    <x v="3"/>
    <x v="119"/>
    <x v="150"/>
    <x v="23"/>
  </r>
  <r>
    <x v="23"/>
    <x v="25"/>
    <x v="2"/>
    <x v="3"/>
    <x v="151"/>
    <x v="16"/>
    <x v="1"/>
    <x v="80"/>
    <x v="151"/>
    <x v="23"/>
  </r>
  <r>
    <x v="24"/>
    <x v="20"/>
    <x v="1"/>
    <x v="0"/>
    <x v="152"/>
    <x v="2"/>
    <x v="3"/>
    <x v="120"/>
    <x v="152"/>
    <x v="24"/>
  </r>
  <r>
    <x v="24"/>
    <x v="24"/>
    <x v="2"/>
    <x v="4"/>
    <x v="153"/>
    <x v="16"/>
    <x v="2"/>
    <x v="93"/>
    <x v="153"/>
    <x v="24"/>
  </r>
  <r>
    <x v="24"/>
    <x v="2"/>
    <x v="4"/>
    <x v="2"/>
    <x v="154"/>
    <x v="16"/>
    <x v="4"/>
    <x v="121"/>
    <x v="154"/>
    <x v="24"/>
  </r>
  <r>
    <x v="24"/>
    <x v="21"/>
    <x v="2"/>
    <x v="3"/>
    <x v="155"/>
    <x v="14"/>
    <x v="3"/>
    <x v="101"/>
    <x v="155"/>
    <x v="24"/>
  </r>
  <r>
    <x v="24"/>
    <x v="6"/>
    <x v="4"/>
    <x v="1"/>
    <x v="156"/>
    <x v="10"/>
    <x v="2"/>
    <x v="122"/>
    <x v="156"/>
    <x v="24"/>
  </r>
  <r>
    <x v="24"/>
    <x v="1"/>
    <x v="4"/>
    <x v="4"/>
    <x v="157"/>
    <x v="15"/>
    <x v="3"/>
    <x v="123"/>
    <x v="157"/>
    <x v="24"/>
  </r>
  <r>
    <x v="25"/>
    <x v="7"/>
    <x v="4"/>
    <x v="2"/>
    <x v="158"/>
    <x v="13"/>
    <x v="1"/>
    <x v="52"/>
    <x v="158"/>
    <x v="25"/>
  </r>
  <r>
    <x v="25"/>
    <x v="7"/>
    <x v="2"/>
    <x v="0"/>
    <x v="159"/>
    <x v="1"/>
    <x v="4"/>
    <x v="124"/>
    <x v="159"/>
    <x v="25"/>
  </r>
  <r>
    <x v="25"/>
    <x v="9"/>
    <x v="1"/>
    <x v="2"/>
    <x v="160"/>
    <x v="0"/>
    <x v="2"/>
    <x v="104"/>
    <x v="160"/>
    <x v="25"/>
  </r>
  <r>
    <x v="25"/>
    <x v="7"/>
    <x v="4"/>
    <x v="2"/>
    <x v="161"/>
    <x v="11"/>
    <x v="3"/>
    <x v="14"/>
    <x v="161"/>
    <x v="25"/>
  </r>
  <r>
    <x v="25"/>
    <x v="0"/>
    <x v="0"/>
    <x v="4"/>
    <x v="162"/>
    <x v="12"/>
    <x v="4"/>
    <x v="125"/>
    <x v="162"/>
    <x v="25"/>
  </r>
  <r>
    <x v="25"/>
    <x v="22"/>
    <x v="1"/>
    <x v="2"/>
    <x v="163"/>
    <x v="1"/>
    <x v="0"/>
    <x v="122"/>
    <x v="163"/>
    <x v="25"/>
  </r>
  <r>
    <x v="25"/>
    <x v="21"/>
    <x v="4"/>
    <x v="1"/>
    <x v="164"/>
    <x v="18"/>
    <x v="4"/>
    <x v="126"/>
    <x v="164"/>
    <x v="25"/>
  </r>
  <r>
    <x v="25"/>
    <x v="3"/>
    <x v="0"/>
    <x v="0"/>
    <x v="165"/>
    <x v="4"/>
    <x v="1"/>
    <x v="127"/>
    <x v="165"/>
    <x v="25"/>
  </r>
  <r>
    <x v="25"/>
    <x v="20"/>
    <x v="0"/>
    <x v="0"/>
    <x v="166"/>
    <x v="3"/>
    <x v="4"/>
    <x v="128"/>
    <x v="166"/>
    <x v="25"/>
  </r>
  <r>
    <x v="26"/>
    <x v="10"/>
    <x v="4"/>
    <x v="4"/>
    <x v="167"/>
    <x v="6"/>
    <x v="2"/>
    <x v="72"/>
    <x v="167"/>
    <x v="26"/>
  </r>
  <r>
    <x v="26"/>
    <x v="10"/>
    <x v="1"/>
    <x v="1"/>
    <x v="168"/>
    <x v="11"/>
    <x v="3"/>
    <x v="90"/>
    <x v="168"/>
    <x v="26"/>
  </r>
  <r>
    <x v="26"/>
    <x v="12"/>
    <x v="0"/>
    <x v="3"/>
    <x v="169"/>
    <x v="11"/>
    <x v="3"/>
    <x v="34"/>
    <x v="169"/>
    <x v="26"/>
  </r>
  <r>
    <x v="26"/>
    <x v="12"/>
    <x v="0"/>
    <x v="0"/>
    <x v="170"/>
    <x v="4"/>
    <x v="4"/>
    <x v="62"/>
    <x v="170"/>
    <x v="26"/>
  </r>
  <r>
    <x v="26"/>
    <x v="0"/>
    <x v="2"/>
    <x v="0"/>
    <x v="171"/>
    <x v="15"/>
    <x v="2"/>
    <x v="5"/>
    <x v="171"/>
    <x v="26"/>
  </r>
  <r>
    <x v="27"/>
    <x v="18"/>
    <x v="4"/>
    <x v="4"/>
    <x v="172"/>
    <x v="4"/>
    <x v="3"/>
    <x v="129"/>
    <x v="172"/>
    <x v="27"/>
  </r>
  <r>
    <x v="27"/>
    <x v="12"/>
    <x v="3"/>
    <x v="0"/>
    <x v="173"/>
    <x v="3"/>
    <x v="1"/>
    <x v="129"/>
    <x v="173"/>
    <x v="27"/>
  </r>
  <r>
    <x v="27"/>
    <x v="6"/>
    <x v="2"/>
    <x v="2"/>
    <x v="174"/>
    <x v="17"/>
    <x v="0"/>
    <x v="44"/>
    <x v="174"/>
    <x v="27"/>
  </r>
  <r>
    <x v="27"/>
    <x v="12"/>
    <x v="2"/>
    <x v="4"/>
    <x v="175"/>
    <x v="2"/>
    <x v="1"/>
    <x v="113"/>
    <x v="175"/>
    <x v="27"/>
  </r>
  <r>
    <x v="27"/>
    <x v="8"/>
    <x v="2"/>
    <x v="0"/>
    <x v="176"/>
    <x v="9"/>
    <x v="3"/>
    <x v="32"/>
    <x v="176"/>
    <x v="27"/>
  </r>
  <r>
    <x v="27"/>
    <x v="8"/>
    <x v="3"/>
    <x v="3"/>
    <x v="177"/>
    <x v="2"/>
    <x v="4"/>
    <x v="130"/>
    <x v="177"/>
    <x v="27"/>
  </r>
  <r>
    <x v="27"/>
    <x v="6"/>
    <x v="1"/>
    <x v="4"/>
    <x v="178"/>
    <x v="12"/>
    <x v="1"/>
    <x v="63"/>
    <x v="178"/>
    <x v="27"/>
  </r>
  <r>
    <x v="27"/>
    <x v="12"/>
    <x v="2"/>
    <x v="4"/>
    <x v="179"/>
    <x v="15"/>
    <x v="3"/>
    <x v="91"/>
    <x v="179"/>
    <x v="27"/>
  </r>
  <r>
    <x v="27"/>
    <x v="12"/>
    <x v="0"/>
    <x v="0"/>
    <x v="180"/>
    <x v="14"/>
    <x v="1"/>
    <x v="131"/>
    <x v="180"/>
    <x v="27"/>
  </r>
  <r>
    <x v="27"/>
    <x v="14"/>
    <x v="1"/>
    <x v="1"/>
    <x v="181"/>
    <x v="16"/>
    <x v="3"/>
    <x v="132"/>
    <x v="181"/>
    <x v="27"/>
  </r>
  <r>
    <x v="27"/>
    <x v="22"/>
    <x v="1"/>
    <x v="1"/>
    <x v="182"/>
    <x v="8"/>
    <x v="1"/>
    <x v="133"/>
    <x v="182"/>
    <x v="27"/>
  </r>
  <r>
    <x v="27"/>
    <x v="16"/>
    <x v="3"/>
    <x v="4"/>
    <x v="183"/>
    <x v="3"/>
    <x v="4"/>
    <x v="134"/>
    <x v="183"/>
    <x v="27"/>
  </r>
  <r>
    <x v="28"/>
    <x v="17"/>
    <x v="1"/>
    <x v="2"/>
    <x v="184"/>
    <x v="8"/>
    <x v="2"/>
    <x v="135"/>
    <x v="184"/>
    <x v="28"/>
  </r>
  <r>
    <x v="28"/>
    <x v="14"/>
    <x v="1"/>
    <x v="0"/>
    <x v="185"/>
    <x v="12"/>
    <x v="1"/>
    <x v="136"/>
    <x v="185"/>
    <x v="28"/>
  </r>
  <r>
    <x v="28"/>
    <x v="9"/>
    <x v="3"/>
    <x v="0"/>
    <x v="186"/>
    <x v="2"/>
    <x v="0"/>
    <x v="137"/>
    <x v="186"/>
    <x v="28"/>
  </r>
  <r>
    <x v="28"/>
    <x v="9"/>
    <x v="0"/>
    <x v="2"/>
    <x v="187"/>
    <x v="9"/>
    <x v="2"/>
    <x v="108"/>
    <x v="187"/>
    <x v="28"/>
  </r>
  <r>
    <x v="28"/>
    <x v="1"/>
    <x v="4"/>
    <x v="0"/>
    <x v="188"/>
    <x v="1"/>
    <x v="2"/>
    <x v="9"/>
    <x v="188"/>
    <x v="28"/>
  </r>
  <r>
    <x v="28"/>
    <x v="20"/>
    <x v="0"/>
    <x v="3"/>
    <x v="189"/>
    <x v="10"/>
    <x v="0"/>
    <x v="138"/>
    <x v="189"/>
    <x v="28"/>
  </r>
  <r>
    <x v="28"/>
    <x v="4"/>
    <x v="1"/>
    <x v="0"/>
    <x v="190"/>
    <x v="8"/>
    <x v="1"/>
    <x v="139"/>
    <x v="190"/>
    <x v="28"/>
  </r>
  <r>
    <x v="29"/>
    <x v="12"/>
    <x v="1"/>
    <x v="1"/>
    <x v="191"/>
    <x v="0"/>
    <x v="1"/>
    <x v="140"/>
    <x v="191"/>
    <x v="29"/>
  </r>
  <r>
    <x v="29"/>
    <x v="23"/>
    <x v="1"/>
    <x v="2"/>
    <x v="192"/>
    <x v="11"/>
    <x v="4"/>
    <x v="141"/>
    <x v="192"/>
    <x v="29"/>
  </r>
  <r>
    <x v="29"/>
    <x v="14"/>
    <x v="3"/>
    <x v="2"/>
    <x v="193"/>
    <x v="10"/>
    <x v="4"/>
    <x v="142"/>
    <x v="193"/>
    <x v="29"/>
  </r>
  <r>
    <x v="29"/>
    <x v="21"/>
    <x v="2"/>
    <x v="1"/>
    <x v="194"/>
    <x v="17"/>
    <x v="4"/>
    <x v="143"/>
    <x v="194"/>
    <x v="29"/>
  </r>
  <r>
    <x v="29"/>
    <x v="20"/>
    <x v="2"/>
    <x v="0"/>
    <x v="195"/>
    <x v="12"/>
    <x v="0"/>
    <x v="144"/>
    <x v="195"/>
    <x v="29"/>
  </r>
  <r>
    <x v="29"/>
    <x v="7"/>
    <x v="4"/>
    <x v="3"/>
    <x v="196"/>
    <x v="7"/>
    <x v="3"/>
    <x v="145"/>
    <x v="196"/>
    <x v="29"/>
  </r>
  <r>
    <x v="29"/>
    <x v="3"/>
    <x v="0"/>
    <x v="3"/>
    <x v="197"/>
    <x v="11"/>
    <x v="3"/>
    <x v="146"/>
    <x v="197"/>
    <x v="29"/>
  </r>
  <r>
    <x v="29"/>
    <x v="7"/>
    <x v="4"/>
    <x v="3"/>
    <x v="198"/>
    <x v="2"/>
    <x v="1"/>
    <x v="147"/>
    <x v="198"/>
    <x v="29"/>
  </r>
  <r>
    <x v="29"/>
    <x v="18"/>
    <x v="1"/>
    <x v="1"/>
    <x v="199"/>
    <x v="15"/>
    <x v="2"/>
    <x v="43"/>
    <x v="199"/>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9" firstHeaderRow="1" firstDataRow="1" firstDataCol="1"/>
  <pivotFields count="10">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6">
        <item x="0"/>
        <item x="1"/>
        <item x="2"/>
        <item x="3"/>
        <item x="4"/>
        <item t="default"/>
      </items>
    </pivotField>
    <pivotField axis="axisRow" compact="0" showAll="0">
      <items count="6">
        <item x="1"/>
        <item x="3"/>
        <item x="0"/>
        <item x="2"/>
        <item x="4"/>
        <item t="default"/>
      </items>
    </pivotField>
    <pivotField dataField="1" compact="0" showAll="0">
      <items count="201">
        <item x="170"/>
        <item x="178"/>
        <item x="6"/>
        <item x="100"/>
        <item x="136"/>
        <item x="133"/>
        <item x="21"/>
        <item x="190"/>
        <item x="75"/>
        <item x="66"/>
        <item x="182"/>
        <item x="57"/>
        <item x="97"/>
        <item x="22"/>
        <item x="184"/>
        <item x="145"/>
        <item x="102"/>
        <item x="140"/>
        <item x="27"/>
        <item x="103"/>
        <item x="197"/>
        <item x="168"/>
        <item x="195"/>
        <item x="1"/>
        <item x="113"/>
        <item x="159"/>
        <item x="19"/>
        <item x="71"/>
        <item x="192"/>
        <item x="42"/>
        <item x="144"/>
        <item x="80"/>
        <item x="62"/>
        <item x="169"/>
        <item x="20"/>
        <item x="139"/>
        <item x="148"/>
        <item x="181"/>
        <item x="107"/>
        <item x="120"/>
        <item x="82"/>
        <item x="155"/>
        <item x="64"/>
        <item x="183"/>
        <item x="185"/>
        <item x="150"/>
        <item x="117"/>
        <item x="179"/>
        <item x="199"/>
        <item x="29"/>
        <item x="46"/>
        <item x="59"/>
        <item x="48"/>
        <item x="49"/>
        <item x="176"/>
        <item x="173"/>
        <item x="77"/>
        <item x="50"/>
        <item x="10"/>
        <item x="58"/>
        <item x="96"/>
        <item x="138"/>
        <item x="109"/>
        <item x="114"/>
        <item x="11"/>
        <item x="44"/>
        <item x="126"/>
        <item x="118"/>
        <item x="81"/>
        <item x="191"/>
        <item x="2"/>
        <item x="89"/>
        <item x="108"/>
        <item x="67"/>
        <item x="189"/>
        <item x="105"/>
        <item x="141"/>
        <item x="167"/>
        <item x="8"/>
        <item x="47"/>
        <item x="72"/>
        <item x="4"/>
        <item x="18"/>
        <item x="124"/>
        <item x="32"/>
        <item x="188"/>
        <item x="79"/>
        <item x="74"/>
        <item x="106"/>
        <item x="161"/>
        <item x="91"/>
        <item x="40"/>
        <item x="7"/>
        <item x="39"/>
        <item x="163"/>
        <item x="88"/>
        <item x="37"/>
        <item x="111"/>
        <item x="125"/>
        <item x="194"/>
        <item x="147"/>
        <item x="122"/>
        <item x="172"/>
        <item x="132"/>
        <item x="104"/>
        <item x="68"/>
        <item x="69"/>
        <item x="14"/>
        <item x="156"/>
        <item x="51"/>
        <item x="53"/>
        <item x="85"/>
        <item x="157"/>
        <item x="129"/>
        <item x="41"/>
        <item x="110"/>
        <item x="134"/>
        <item x="175"/>
        <item x="166"/>
        <item x="15"/>
        <item x="116"/>
        <item x="98"/>
        <item x="112"/>
        <item x="90"/>
        <item x="34"/>
        <item x="158"/>
        <item x="54"/>
        <item x="3"/>
        <item x="52"/>
        <item x="193"/>
        <item x="56"/>
        <item x="101"/>
        <item x="28"/>
        <item x="186"/>
        <item x="73"/>
        <item x="43"/>
        <item x="198"/>
        <item x="162"/>
        <item x="180"/>
        <item x="143"/>
        <item x="123"/>
        <item x="131"/>
        <item x="31"/>
        <item x="142"/>
        <item x="17"/>
        <item x="165"/>
        <item x="177"/>
        <item x="94"/>
        <item x="84"/>
        <item x="187"/>
        <item x="65"/>
        <item x="63"/>
        <item x="127"/>
        <item x="61"/>
        <item x="38"/>
        <item x="36"/>
        <item x="92"/>
        <item x="130"/>
        <item x="70"/>
        <item x="78"/>
        <item x="153"/>
        <item x="93"/>
        <item x="160"/>
        <item x="164"/>
        <item x="13"/>
        <item x="83"/>
        <item x="55"/>
        <item x="33"/>
        <item x="135"/>
        <item x="24"/>
        <item x="154"/>
        <item x="196"/>
        <item x="119"/>
        <item x="26"/>
        <item x="0"/>
        <item x="16"/>
        <item x="87"/>
        <item x="60"/>
        <item x="137"/>
        <item x="76"/>
        <item x="121"/>
        <item x="128"/>
        <item x="174"/>
        <item x="9"/>
        <item x="5"/>
        <item x="23"/>
        <item x="152"/>
        <item x="115"/>
        <item x="151"/>
        <item x="171"/>
        <item x="45"/>
        <item x="30"/>
        <item x="35"/>
        <item x="146"/>
        <item x="86"/>
        <item x="25"/>
        <item x="12"/>
        <item x="149"/>
        <item x="99"/>
        <item x="9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6">
        <item x="0"/>
        <item x="1"/>
        <item x="2"/>
        <item x="3"/>
        <item x="4"/>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6">
    <i>
      <x/>
    </i>
    <i>
      <x v="1"/>
    </i>
    <i>
      <x v="2"/>
    </i>
    <i>
      <x v="3"/>
    </i>
    <i>
      <x v="4"/>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9" firstHeaderRow="1" firstDataRow="1" firstDataCol="1"/>
  <pivotFields count="10">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compact="0" showAll="0">
      <items count="6">
        <item x="0"/>
        <item x="1"/>
        <item x="2"/>
        <item x="3"/>
        <item x="4"/>
        <item t="default"/>
      </items>
    </pivotField>
    <pivotField compact="0" showAll="0">
      <items count="6">
        <item x="1"/>
        <item x="3"/>
        <item x="0"/>
        <item x="2"/>
        <item x="4"/>
        <item t="default"/>
      </items>
    </pivotField>
    <pivotField dataField="1" compact="0" showAll="0">
      <items count="201">
        <item x="170"/>
        <item x="178"/>
        <item x="6"/>
        <item x="100"/>
        <item x="136"/>
        <item x="133"/>
        <item x="21"/>
        <item x="190"/>
        <item x="75"/>
        <item x="66"/>
        <item x="182"/>
        <item x="57"/>
        <item x="97"/>
        <item x="22"/>
        <item x="184"/>
        <item x="145"/>
        <item x="102"/>
        <item x="140"/>
        <item x="27"/>
        <item x="103"/>
        <item x="197"/>
        <item x="168"/>
        <item x="195"/>
        <item x="1"/>
        <item x="113"/>
        <item x="159"/>
        <item x="19"/>
        <item x="71"/>
        <item x="192"/>
        <item x="42"/>
        <item x="144"/>
        <item x="80"/>
        <item x="62"/>
        <item x="169"/>
        <item x="20"/>
        <item x="139"/>
        <item x="148"/>
        <item x="181"/>
        <item x="107"/>
        <item x="120"/>
        <item x="82"/>
        <item x="155"/>
        <item x="64"/>
        <item x="183"/>
        <item x="185"/>
        <item x="150"/>
        <item x="117"/>
        <item x="179"/>
        <item x="199"/>
        <item x="29"/>
        <item x="46"/>
        <item x="59"/>
        <item x="48"/>
        <item x="49"/>
        <item x="176"/>
        <item x="173"/>
        <item x="77"/>
        <item x="50"/>
        <item x="10"/>
        <item x="58"/>
        <item x="96"/>
        <item x="138"/>
        <item x="109"/>
        <item x="114"/>
        <item x="11"/>
        <item x="44"/>
        <item x="126"/>
        <item x="118"/>
        <item x="81"/>
        <item x="191"/>
        <item x="2"/>
        <item x="89"/>
        <item x="108"/>
        <item x="67"/>
        <item x="189"/>
        <item x="105"/>
        <item x="141"/>
        <item x="167"/>
        <item x="8"/>
        <item x="47"/>
        <item x="72"/>
        <item x="4"/>
        <item x="18"/>
        <item x="124"/>
        <item x="32"/>
        <item x="188"/>
        <item x="79"/>
        <item x="74"/>
        <item x="106"/>
        <item x="161"/>
        <item x="91"/>
        <item x="40"/>
        <item x="7"/>
        <item x="39"/>
        <item x="163"/>
        <item x="88"/>
        <item x="37"/>
        <item x="111"/>
        <item x="125"/>
        <item x="194"/>
        <item x="147"/>
        <item x="122"/>
        <item x="172"/>
        <item x="132"/>
        <item x="104"/>
        <item x="68"/>
        <item x="69"/>
        <item x="14"/>
        <item x="156"/>
        <item x="51"/>
        <item x="53"/>
        <item x="85"/>
        <item x="157"/>
        <item x="129"/>
        <item x="41"/>
        <item x="110"/>
        <item x="134"/>
        <item x="175"/>
        <item x="166"/>
        <item x="15"/>
        <item x="116"/>
        <item x="98"/>
        <item x="112"/>
        <item x="90"/>
        <item x="34"/>
        <item x="158"/>
        <item x="54"/>
        <item x="3"/>
        <item x="52"/>
        <item x="193"/>
        <item x="56"/>
        <item x="101"/>
        <item x="28"/>
        <item x="186"/>
        <item x="73"/>
        <item x="43"/>
        <item x="198"/>
        <item x="162"/>
        <item x="180"/>
        <item x="143"/>
        <item x="123"/>
        <item x="131"/>
        <item x="31"/>
        <item x="142"/>
        <item x="17"/>
        <item x="165"/>
        <item x="177"/>
        <item x="94"/>
        <item x="84"/>
        <item x="187"/>
        <item x="65"/>
        <item x="63"/>
        <item x="127"/>
        <item x="61"/>
        <item x="38"/>
        <item x="36"/>
        <item x="92"/>
        <item x="130"/>
        <item x="70"/>
        <item x="78"/>
        <item x="153"/>
        <item x="93"/>
        <item x="160"/>
        <item x="164"/>
        <item x="13"/>
        <item x="83"/>
        <item x="55"/>
        <item x="33"/>
        <item x="135"/>
        <item x="24"/>
        <item x="154"/>
        <item x="196"/>
        <item x="119"/>
        <item x="26"/>
        <item x="0"/>
        <item x="16"/>
        <item x="87"/>
        <item x="60"/>
        <item x="137"/>
        <item x="76"/>
        <item x="121"/>
        <item x="128"/>
        <item x="174"/>
        <item x="9"/>
        <item x="5"/>
        <item x="23"/>
        <item x="152"/>
        <item x="115"/>
        <item x="151"/>
        <item x="171"/>
        <item x="45"/>
        <item x="30"/>
        <item x="35"/>
        <item x="146"/>
        <item x="86"/>
        <item x="25"/>
        <item x="12"/>
        <item x="149"/>
        <item x="99"/>
        <item x="9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6">
        <item x="0"/>
        <item x="1"/>
        <item x="2"/>
        <item x="3"/>
        <item x="4"/>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
  </rowFields>
  <rowItems count="6">
    <i>
      <x/>
    </i>
    <i>
      <x v="1"/>
    </i>
    <i>
      <x v="2"/>
    </i>
    <i>
      <x v="3"/>
    </i>
    <i>
      <x v="4"/>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152" firstHeaderRow="1" firstDataRow="1" firstDataCol="1"/>
  <pivotFields count="10">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6">
        <item x="0"/>
        <item x="1"/>
        <item x="2"/>
        <item x="3"/>
        <item x="4"/>
        <item t="default"/>
      </items>
    </pivotField>
    <pivotField compact="0" showAll="0">
      <items count="6">
        <item x="1"/>
        <item x="3"/>
        <item x="0"/>
        <item x="2"/>
        <item x="4"/>
        <item t="default"/>
      </items>
    </pivotField>
    <pivotField dataField="1" compact="0" showAll="0">
      <items count="201">
        <item x="170"/>
        <item x="178"/>
        <item x="6"/>
        <item x="100"/>
        <item x="136"/>
        <item x="133"/>
        <item x="21"/>
        <item x="190"/>
        <item x="75"/>
        <item x="66"/>
        <item x="182"/>
        <item x="57"/>
        <item x="97"/>
        <item x="22"/>
        <item x="184"/>
        <item x="145"/>
        <item x="102"/>
        <item x="140"/>
        <item x="27"/>
        <item x="103"/>
        <item x="197"/>
        <item x="168"/>
        <item x="195"/>
        <item x="1"/>
        <item x="113"/>
        <item x="159"/>
        <item x="19"/>
        <item x="71"/>
        <item x="192"/>
        <item x="42"/>
        <item x="144"/>
        <item x="80"/>
        <item x="62"/>
        <item x="169"/>
        <item x="20"/>
        <item x="139"/>
        <item x="148"/>
        <item x="181"/>
        <item x="107"/>
        <item x="120"/>
        <item x="82"/>
        <item x="155"/>
        <item x="64"/>
        <item x="183"/>
        <item x="185"/>
        <item x="150"/>
        <item x="117"/>
        <item x="179"/>
        <item x="199"/>
        <item x="29"/>
        <item x="46"/>
        <item x="59"/>
        <item x="48"/>
        <item x="49"/>
        <item x="176"/>
        <item x="173"/>
        <item x="77"/>
        <item x="50"/>
        <item x="10"/>
        <item x="58"/>
        <item x="96"/>
        <item x="138"/>
        <item x="109"/>
        <item x="114"/>
        <item x="11"/>
        <item x="44"/>
        <item x="126"/>
        <item x="118"/>
        <item x="81"/>
        <item x="191"/>
        <item x="2"/>
        <item x="89"/>
        <item x="108"/>
        <item x="67"/>
        <item x="189"/>
        <item x="105"/>
        <item x="141"/>
        <item x="167"/>
        <item x="8"/>
        <item x="47"/>
        <item x="72"/>
        <item x="4"/>
        <item x="18"/>
        <item x="124"/>
        <item x="32"/>
        <item x="188"/>
        <item x="79"/>
        <item x="74"/>
        <item x="106"/>
        <item x="161"/>
        <item x="91"/>
        <item x="40"/>
        <item x="7"/>
        <item x="39"/>
        <item x="163"/>
        <item x="88"/>
        <item x="37"/>
        <item x="111"/>
        <item x="125"/>
        <item x="194"/>
        <item x="147"/>
        <item x="122"/>
        <item x="172"/>
        <item x="132"/>
        <item x="104"/>
        <item x="68"/>
        <item x="69"/>
        <item x="14"/>
        <item x="156"/>
        <item x="51"/>
        <item x="53"/>
        <item x="85"/>
        <item x="157"/>
        <item x="129"/>
        <item x="41"/>
        <item x="110"/>
        <item x="134"/>
        <item x="175"/>
        <item x="166"/>
        <item x="15"/>
        <item x="116"/>
        <item x="98"/>
        <item x="112"/>
        <item x="90"/>
        <item x="34"/>
        <item x="158"/>
        <item x="54"/>
        <item x="3"/>
        <item x="52"/>
        <item x="193"/>
        <item x="56"/>
        <item x="101"/>
        <item x="28"/>
        <item x="186"/>
        <item x="73"/>
        <item x="43"/>
        <item x="198"/>
        <item x="162"/>
        <item x="180"/>
        <item x="143"/>
        <item x="123"/>
        <item x="131"/>
        <item x="31"/>
        <item x="142"/>
        <item x="17"/>
        <item x="165"/>
        <item x="177"/>
        <item x="94"/>
        <item x="84"/>
        <item x="187"/>
        <item x="65"/>
        <item x="63"/>
        <item x="127"/>
        <item x="61"/>
        <item x="38"/>
        <item x="36"/>
        <item x="92"/>
        <item x="130"/>
        <item x="70"/>
        <item x="78"/>
        <item x="153"/>
        <item x="93"/>
        <item x="160"/>
        <item x="164"/>
        <item x="13"/>
        <item x="83"/>
        <item x="55"/>
        <item x="33"/>
        <item x="135"/>
        <item x="24"/>
        <item x="154"/>
        <item x="196"/>
        <item x="119"/>
        <item x="26"/>
        <item x="0"/>
        <item x="16"/>
        <item x="87"/>
        <item x="60"/>
        <item x="137"/>
        <item x="76"/>
        <item x="121"/>
        <item x="128"/>
        <item x="174"/>
        <item x="9"/>
        <item x="5"/>
        <item x="23"/>
        <item x="152"/>
        <item x="115"/>
        <item x="151"/>
        <item x="171"/>
        <item x="45"/>
        <item x="30"/>
        <item x="35"/>
        <item x="146"/>
        <item x="86"/>
        <item x="25"/>
        <item x="12"/>
        <item x="149"/>
        <item x="99"/>
        <item x="9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6">
        <item x="0"/>
        <item x="1"/>
        <item x="2"/>
        <item x="3"/>
        <item x="4"/>
        <item t="default"/>
      </items>
    </pivotField>
    <pivotField axis="axisRow"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7"/>
  </rowFields>
  <rowItems count="1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PivotTable2"/>
  </pivotTables>
  <data>
    <tabular pivotCacheId="1">
      <items count="5">
        <i x="1" s="1"/>
        <i x="3" s="1"/>
        <i x="0" s="1"/>
        <i x="2" s="1"/>
        <i x="4"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25425"/>
</slicers>
</file>

<file path=xl/tables/table1.xml><?xml version="1.0" encoding="utf-8"?>
<table xmlns="http://schemas.openxmlformats.org/spreadsheetml/2006/main" id="1" name="Table1" displayName="Table1" ref="A1:J201" totalsRowShown="0">
  <autoFilter xmlns:etc="http://www.wps.cn/officeDocument/2017/etCustomData" ref="A1:J201" etc:filterBottomFollowUsedRange="0"/>
  <sortState ref="A1:J201">
    <sortCondition ref="A1"/>
  </sortState>
  <tableColumns count="10">
    <tableColumn id="1" name="Customer_ID" dataDxfId="0"/>
    <tableColumn id="2" name="Customer_Name" dataDxfId="1"/>
    <tableColumn id="3" name="Region" dataDxfId="2"/>
    <tableColumn id="4" name="Product_Category" dataDxfId="3"/>
    <tableColumn id="5" name="Sales" dataDxfId="4"/>
    <tableColumn id="6" name="Quantity" dataDxfId="5"/>
    <tableColumn id="7" name="Discount" dataDxfId="6"/>
    <tableColumn id="8" name="Order_Date" dataDxfId="7"/>
    <tableColumn id="9" name="Profit" dataDxfId="8"/>
    <tableColumn id="10" name="total sales per customer" dataDxfId="9">
      <calculatedColumnFormula>SUMIF($A$2:$A$201,A2,$E$2:$E$201)</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47"/>
  <sheetViews>
    <sheetView zoomScale="92" zoomScaleNormal="92" topLeftCell="A2" workbookViewId="0">
      <selection activeCell="A2" sqref="A2"/>
    </sheetView>
  </sheetViews>
  <sheetFormatPr defaultColWidth="14.4259259259259" defaultRowHeight="15" customHeight="1"/>
  <cols>
    <col min="1" max="1" width="74.8611111111111" customWidth="1"/>
    <col min="2" max="26" width="8.71296296296296" customWidth="1"/>
  </cols>
  <sheetData>
    <row r="1" ht="14.4" spans="1:26">
      <c r="A1" s="11" t="s">
        <v>0</v>
      </c>
      <c r="B1" s="12"/>
      <c r="C1" s="12"/>
      <c r="D1" s="12"/>
      <c r="E1" s="12"/>
      <c r="F1" s="12"/>
      <c r="G1" s="12"/>
      <c r="H1" s="12"/>
      <c r="I1" s="12"/>
      <c r="J1" s="12"/>
      <c r="K1" s="12"/>
      <c r="L1" s="12"/>
      <c r="M1" s="12"/>
      <c r="N1" s="12"/>
      <c r="O1" s="12"/>
      <c r="P1" s="12"/>
      <c r="Q1" s="12"/>
      <c r="R1" s="12"/>
      <c r="S1" s="12"/>
      <c r="T1" s="12"/>
      <c r="U1" s="12"/>
      <c r="V1" s="12"/>
      <c r="W1" s="12"/>
      <c r="X1" s="12"/>
      <c r="Y1" s="12"/>
      <c r="Z1" s="12"/>
    </row>
    <row r="2" ht="409.5" spans="1:26">
      <c r="A2" s="13" t="s">
        <v>1</v>
      </c>
      <c r="B2" s="12"/>
      <c r="C2" s="12"/>
      <c r="D2" s="12"/>
      <c r="E2" s="12"/>
      <c r="F2" s="12"/>
      <c r="G2" s="12"/>
      <c r="H2" s="12"/>
      <c r="I2" s="12"/>
      <c r="J2" s="12"/>
      <c r="K2" s="12"/>
      <c r="L2" s="12"/>
      <c r="M2" s="12"/>
      <c r="N2" s="12"/>
      <c r="O2" s="12"/>
      <c r="P2" s="12"/>
      <c r="Q2" s="12"/>
      <c r="R2" s="12"/>
      <c r="S2" s="12"/>
      <c r="T2" s="12"/>
      <c r="U2" s="12"/>
      <c r="V2" s="12"/>
      <c r="W2" s="12"/>
      <c r="X2" s="12"/>
      <c r="Y2" s="12"/>
      <c r="Z2" s="12"/>
    </row>
    <row r="3" ht="14.4" spans="1:26">
      <c r="A3" s="12"/>
      <c r="B3" s="12"/>
      <c r="C3" s="12"/>
      <c r="D3" s="12"/>
      <c r="E3" s="12"/>
      <c r="F3" s="12"/>
      <c r="G3" s="12"/>
      <c r="H3" s="12"/>
      <c r="I3" s="12"/>
      <c r="J3" s="12"/>
      <c r="K3" s="12"/>
      <c r="L3" s="12"/>
      <c r="M3" s="12"/>
      <c r="N3" s="12"/>
      <c r="O3" s="12"/>
      <c r="P3" s="12"/>
      <c r="Q3" s="12"/>
      <c r="R3" s="12"/>
      <c r="S3" s="12"/>
      <c r="T3" s="12"/>
      <c r="U3" s="12"/>
      <c r="V3" s="12"/>
      <c r="W3" s="12"/>
      <c r="X3" s="12"/>
      <c r="Y3" s="12"/>
      <c r="Z3" s="12"/>
    </row>
    <row r="4" ht="15.75" customHeight="1" spans="1:26">
      <c r="A4" s="12"/>
      <c r="B4" s="12"/>
      <c r="C4" s="12"/>
      <c r="D4" s="12"/>
      <c r="E4" s="12"/>
      <c r="F4" s="12"/>
      <c r="G4" s="12"/>
      <c r="H4" s="12"/>
      <c r="I4" s="12"/>
      <c r="J4" s="12"/>
      <c r="K4" s="12"/>
      <c r="L4" s="12"/>
      <c r="M4" s="12"/>
      <c r="N4" s="12"/>
      <c r="O4" s="12"/>
      <c r="P4" s="12"/>
      <c r="Q4" s="12"/>
      <c r="R4" s="12"/>
      <c r="S4" s="12"/>
      <c r="T4" s="12"/>
      <c r="U4" s="12"/>
      <c r="V4" s="12"/>
      <c r="W4" s="12"/>
      <c r="X4" s="12"/>
      <c r="Y4" s="12"/>
      <c r="Z4" s="12"/>
    </row>
    <row r="5" ht="15.75" customHeight="1" spans="1:26">
      <c r="A5" s="12"/>
      <c r="B5" s="12"/>
      <c r="C5" s="12"/>
      <c r="D5" s="12"/>
      <c r="E5" s="12"/>
      <c r="F5" s="12"/>
      <c r="G5" s="12"/>
      <c r="H5" s="12"/>
      <c r="I5" s="12"/>
      <c r="J5" s="12"/>
      <c r="K5" s="12"/>
      <c r="L5" s="12"/>
      <c r="M5" s="12"/>
      <c r="N5" s="12"/>
      <c r="O5" s="12"/>
      <c r="P5" s="12"/>
      <c r="Q5" s="12"/>
      <c r="R5" s="12"/>
      <c r="S5" s="12"/>
      <c r="T5" s="12"/>
      <c r="U5" s="12"/>
      <c r="V5" s="12"/>
      <c r="W5" s="12"/>
      <c r="X5" s="12"/>
      <c r="Y5" s="12"/>
      <c r="Z5" s="12"/>
    </row>
    <row r="6" ht="15.75" customHeight="1" spans="1:26">
      <c r="A6" s="12"/>
      <c r="B6" s="12"/>
      <c r="C6" s="12"/>
      <c r="D6" s="12"/>
      <c r="E6" s="12"/>
      <c r="F6" s="12"/>
      <c r="G6" s="12"/>
      <c r="H6" s="12"/>
      <c r="I6" s="12"/>
      <c r="J6" s="12"/>
      <c r="K6" s="12"/>
      <c r="L6" s="12"/>
      <c r="M6" s="12"/>
      <c r="N6" s="12"/>
      <c r="O6" s="12"/>
      <c r="P6" s="12"/>
      <c r="Q6" s="12"/>
      <c r="R6" s="12"/>
      <c r="S6" s="12"/>
      <c r="T6" s="12"/>
      <c r="U6" s="12"/>
      <c r="V6" s="12"/>
      <c r="W6" s="12"/>
      <c r="X6" s="12"/>
      <c r="Y6" s="12"/>
      <c r="Z6" s="12"/>
    </row>
    <row r="7" ht="15.75" customHeight="1" spans="1:26">
      <c r="A7" s="12"/>
      <c r="B7" s="12"/>
      <c r="C7" s="12"/>
      <c r="D7" s="12"/>
      <c r="E7" s="12"/>
      <c r="F7" s="12"/>
      <c r="G7" s="12"/>
      <c r="H7" s="12"/>
      <c r="I7" s="12"/>
      <c r="J7" s="12"/>
      <c r="K7" s="12"/>
      <c r="L7" s="12"/>
      <c r="M7" s="12"/>
      <c r="N7" s="12"/>
      <c r="O7" s="12"/>
      <c r="P7" s="12"/>
      <c r="Q7" s="12"/>
      <c r="R7" s="12"/>
      <c r="S7" s="12"/>
      <c r="T7" s="12"/>
      <c r="U7" s="12"/>
      <c r="V7" s="12"/>
      <c r="W7" s="12"/>
      <c r="X7" s="12"/>
      <c r="Y7" s="12"/>
      <c r="Z7" s="12"/>
    </row>
    <row r="8" ht="15.75" customHeight="1" spans="1:26">
      <c r="A8" s="12"/>
      <c r="B8" s="12"/>
      <c r="C8" s="12"/>
      <c r="D8" s="12"/>
      <c r="E8" s="12"/>
      <c r="F8" s="12"/>
      <c r="G8" s="12"/>
      <c r="H8" s="12"/>
      <c r="I8" s="12"/>
      <c r="J8" s="12"/>
      <c r="K8" s="12"/>
      <c r="L8" s="12"/>
      <c r="M8" s="12"/>
      <c r="N8" s="12"/>
      <c r="O8" s="12"/>
      <c r="P8" s="12"/>
      <c r="Q8" s="12"/>
      <c r="R8" s="12"/>
      <c r="S8" s="12"/>
      <c r="T8" s="12"/>
      <c r="U8" s="12"/>
      <c r="V8" s="12"/>
      <c r="W8" s="12"/>
      <c r="X8" s="12"/>
      <c r="Y8" s="12"/>
      <c r="Z8" s="12"/>
    </row>
    <row r="9" ht="15.75" customHeight="1" spans="1:26">
      <c r="A9" s="12"/>
      <c r="B9" s="12"/>
      <c r="C9" s="12"/>
      <c r="D9" s="12"/>
      <c r="E9" s="12"/>
      <c r="F9" s="12"/>
      <c r="G9" s="12"/>
      <c r="H9" s="12"/>
      <c r="I9" s="12"/>
      <c r="J9" s="12"/>
      <c r="K9" s="12"/>
      <c r="L9" s="12"/>
      <c r="M9" s="12"/>
      <c r="N9" s="12"/>
      <c r="O9" s="12"/>
      <c r="P9" s="12"/>
      <c r="Q9" s="12"/>
      <c r="R9" s="12"/>
      <c r="S9" s="12"/>
      <c r="T9" s="12"/>
      <c r="U9" s="12"/>
      <c r="V9" s="12"/>
      <c r="W9" s="12"/>
      <c r="X9" s="12"/>
      <c r="Y9" s="12"/>
      <c r="Z9" s="12"/>
    </row>
    <row r="10" ht="15.75" customHeight="1" spans="1:26">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5.75" customHeight="1" spans="1:26">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5.75" customHeight="1" spans="1:26">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5.75" customHeight="1" spans="1:26">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5.75" customHeight="1" spans="1:26">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5.75" customHeight="1" spans="1:26">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5.75" customHeight="1" spans="1:2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5.75" customHeight="1" spans="1:26">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5.75" customHeight="1" spans="1:26">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5.75" customHeight="1" spans="1:26">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5.75" customHeight="1" spans="1:26">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spans="1:26">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spans="1:26">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spans="1:26">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spans="1:26">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spans="1:26">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spans="1: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spans="1:26">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spans="1:26">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spans="1:26">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spans="1:26">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spans="1:26">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spans="1:26">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spans="1:26">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spans="1:26">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spans="1:26">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spans="1:2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spans="1:26">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spans="1:26">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spans="1:26">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spans="1:2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spans="1:26">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spans="1:26">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spans="1:26">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spans="1:2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spans="1:26">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spans="1:2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spans="1:26">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spans="1:2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spans="1:26">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spans="1:26">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spans="1:26">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spans="1:26">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spans="1:26">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spans="1:26">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spans="1:26">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spans="1:2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spans="1:26">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spans="1:26">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spans="1:26">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spans="1:26">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spans="1:26">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spans="1:26">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spans="1:26">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spans="1:26">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spans="1:26">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spans="1:2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spans="1:26">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spans="1:26">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spans="1:26">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spans="1:26">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spans="1:26">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spans="1:26">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spans="1:26">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spans="1:26">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spans="1:26">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spans="1:2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spans="1:26">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spans="1:26">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spans="1:26">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spans="1:26">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spans="1:26">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spans="1:26">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spans="1:26">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spans="1:26">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spans="1:26">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spans="1:2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spans="1:26">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spans="1:26">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spans="1:26">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spans="1:26">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spans="1:26">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spans="1:26">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spans="1:26">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spans="1:26">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spans="1:26">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spans="1:2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spans="1:26">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spans="1:26">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spans="1:26">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spans="1:26">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spans="1:26">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spans="1:26">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spans="1:26">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spans="1:26">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spans="1:26">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spans="1:2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spans="1:26">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spans="1:26">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spans="1:26">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spans="1:26">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spans="1:26">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spans="1:26">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spans="1:26">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spans="1:26">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spans="1:26">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spans="1:2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spans="1:26">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spans="1:26">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spans="1:26">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spans="1:26">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spans="1:26">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spans="1:26">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spans="1:26">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spans="1:26">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spans="1:26">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spans="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spans="1:26">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spans="1:26">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spans="1:26">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spans="1:26">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spans="1:26">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spans="1:26">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spans="1:26">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spans="1:26">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spans="1:26">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spans="1:2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spans="1:26">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spans="1:26">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spans="1:26">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spans="1:26">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spans="1:26">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spans="1:26">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spans="1:26">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spans="1:26">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spans="1:26">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spans="1:2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spans="1:26">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spans="1:26">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spans="1:26">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spans="1:26">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spans="1:26">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spans="1:26">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spans="1:26">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spans="1:26">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spans="1:26">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spans="1:2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spans="1:26">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spans="1:26">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spans="1:26">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spans="1:26">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spans="1:26">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spans="1:26">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spans="1:26">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spans="1:26">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spans="1:26">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spans="1:2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spans="1:26">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spans="1:26">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spans="1:26">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spans="1:26">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spans="1:26">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spans="1:26">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spans="1:26">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spans="1:26">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spans="1:26">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spans="1:2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spans="1:26">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spans="1:26">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spans="1:26">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spans="1:26">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spans="1:26">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spans="1:26">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spans="1:26">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spans="1:26">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spans="1:26">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spans="1:2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spans="1:26">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spans="1:26">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spans="1:26">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spans="1:26">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spans="1:26">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spans="1:26">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spans="1:26">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spans="1:26">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spans="1:26">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spans="1:2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spans="1:26">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spans="1:26">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spans="1:26">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spans="1:26">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spans="1:26">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spans="1:26">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spans="1:26">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spans="1:26">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spans="1:26">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spans="1:2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spans="1:26">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spans="1:26">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spans="1:26">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spans="1:26">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spans="1:26">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spans="1:26">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spans="1:26">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spans="1:26">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spans="1:26">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spans="1:2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spans="1:26">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spans="1:26">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spans="1:26">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spans="1:26">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spans="1:26">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spans="1:26">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spans="1:26">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spans="1:26">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spans="1:26">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spans="1: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spans="1:26">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spans="1:26">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spans="1:26">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spans="1:26">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spans="1:26">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spans="1:26">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spans="1:26">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spans="1:26">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spans="1:26">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spans="1:2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spans="1:26">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spans="1:26">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spans="1:26">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spans="1:26">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spans="1:26">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spans="1:26">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spans="1:26">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spans="1:26">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spans="1:26">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spans="1:2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spans="1:26">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spans="1:26">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spans="1:26">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spans="1:26">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spans="1:26">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spans="1:26">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spans="1:26">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spans="1:26">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spans="1:26">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spans="1:2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spans="1:26">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spans="1:26">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spans="1:26">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spans="1:26">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spans="1:26">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spans="1:26">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spans="1:26">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spans="1:26">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spans="1:26">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spans="1:2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spans="1:26">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spans="1:26">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spans="1:26">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spans="1:26">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spans="1:26">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spans="1:26">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spans="1:26">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spans="1:26">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spans="1:26">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spans="1:2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spans="1:26">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spans="1:26">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spans="1:26">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spans="1:26">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spans="1:26">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spans="1:26">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spans="1:26">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spans="1:26">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spans="1:26">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spans="1:2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spans="1:26">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spans="1:26">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spans="1:26">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spans="1:26">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spans="1:26">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spans="1:26">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spans="1:26">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spans="1:26">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spans="1:26">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spans="1:2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spans="1:26">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spans="1:26">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spans="1:26">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spans="1:26">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spans="1:26">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spans="1:26">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spans="1:26">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spans="1:26">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spans="1:26">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spans="1:2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spans="1:26">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spans="1:26">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spans="1:26">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spans="1:26">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spans="1:26">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spans="1:26">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spans="1:26">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spans="1:26">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spans="1:26">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spans="1:2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spans="1:26">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spans="1:26">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spans="1:26">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spans="1:26">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spans="1:26">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spans="1:26">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spans="1:26">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spans="1:26">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spans="1:26">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spans="1: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spans="1:26">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spans="1:26">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spans="1:26">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spans="1:26">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spans="1:26">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spans="1:26">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spans="1:26">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spans="1:26">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spans="1:26">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spans="1:2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spans="1:26">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spans="1:26">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spans="1:26">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spans="1:26">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spans="1:26">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spans="1:26">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spans="1:26">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spans="1:26">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spans="1:26">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spans="1:2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spans="1:26">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spans="1:26">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spans="1:26">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spans="1:26">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spans="1:26">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spans="1:26">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spans="1:26">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spans="1:26">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spans="1:26">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spans="1:2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spans="1:26">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spans="1:26">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spans="1:26">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spans="1:26">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spans="1:26">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spans="1:26">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spans="1:26">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spans="1:26">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spans="1:26">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spans="1:2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spans="1:26">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spans="1:26">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spans="1:26">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spans="1:26">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spans="1:26">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spans="1:26">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spans="1:26">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spans="1:26">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spans="1:26">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spans="1:2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spans="1:26">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spans="1:26">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spans="1:26">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spans="1:26">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spans="1:26">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spans="1:26">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spans="1:26">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spans="1:26">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spans="1:26">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spans="1:2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spans="1:26">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spans="1:26">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spans="1:26">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spans="1:26">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spans="1:26">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spans="1:26">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spans="1:26">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spans="1:26">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spans="1:26">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spans="1:2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spans="1:26">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spans="1:26">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spans="1:26">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spans="1:26">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spans="1:26">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spans="1:26">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spans="1:26">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spans="1:26">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spans="1:26">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spans="1:2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spans="1:26">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spans="1:26">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spans="1:26">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spans="1:26">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spans="1:26">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spans="1:26">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spans="1:26">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spans="1:26">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spans="1:26">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spans="1:2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spans="1:26">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spans="1:26">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spans="1:26">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spans="1:26">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spans="1:26">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spans="1:26">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spans="1:26">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spans="1:26">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spans="1:26">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spans="1: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spans="1:26">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spans="1:26">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spans="1:26">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spans="1:26">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spans="1:26">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spans="1:26">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spans="1:26">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spans="1:26">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spans="1:26">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spans="1:2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spans="1:26">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spans="1:26">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spans="1:26">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spans="1:26">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spans="1:26">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spans="1:26">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spans="1:26">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spans="1:26">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spans="1:26">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spans="1:2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spans="1:26">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spans="1:26">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spans="1:26">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spans="1:26">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spans="1:26">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spans="1:26">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spans="1:26">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spans="1:26">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spans="1:26">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spans="1:2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spans="1:26">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spans="1:26">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spans="1:26">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spans="1:26">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spans="1:26">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spans="1:26">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spans="1:26">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spans="1:26">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spans="1:26">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spans="1:2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spans="1:26">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spans="1:26">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spans="1:26">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spans="1:26">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spans="1:26">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spans="1:26">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spans="1:26">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spans="1:26">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spans="1:26">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spans="1:2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spans="1:26">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spans="1:26">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spans="1:26">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spans="1:26">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spans="1:26">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spans="1:26">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spans="1:26">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spans="1:26">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spans="1:26">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spans="1:2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spans="1:26">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spans="1:26">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spans="1:26">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spans="1:26">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spans="1:26">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spans="1:26">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spans="1:26">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spans="1:26">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spans="1:26">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spans="1:2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spans="1:26">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spans="1:26">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spans="1:26">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spans="1:26">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spans="1:26">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spans="1:26">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spans="1:26">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spans="1:26">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spans="1:26">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spans="1:2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spans="1:26">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spans="1:26">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spans="1:26">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spans="1:26">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spans="1:26">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spans="1:26">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spans="1:26">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spans="1:26">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spans="1:26">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spans="1:2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spans="1:26">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spans="1:26">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spans="1:26">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spans="1:26">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spans="1:26">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spans="1:26">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spans="1:26">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spans="1:26">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spans="1:26">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spans="1: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spans="1:26">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spans="1:26">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spans="1:26">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spans="1:26">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spans="1:26">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spans="1:26">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spans="1:26">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spans="1:26">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spans="1:26">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spans="1:2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spans="1:26">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spans="1:26">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spans="1:26">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spans="1:26">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spans="1:26">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spans="1:26">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spans="1:26">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spans="1:26">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spans="1:26">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spans="1:2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spans="1:26">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spans="1:26">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spans="1:26">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spans="1:26">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spans="1:26">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spans="1:26">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spans="1:26">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spans="1:26">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spans="1:26">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spans="1:2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spans="1:26">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spans="1:26">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spans="1:26">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spans="1:26">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spans="1:26">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spans="1:26">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spans="1:26">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spans="1:26">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spans="1:26">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spans="1:2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spans="1:26">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spans="1:26">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spans="1:26">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spans="1:26">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spans="1:26">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spans="1:26">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spans="1:26">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spans="1:26">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spans="1:26">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spans="1:2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spans="1:26">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spans="1:26">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spans="1:26">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spans="1:26">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spans="1:26">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spans="1:26">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spans="1:26">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spans="1:26">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spans="1:26">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spans="1:2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spans="1:26">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spans="1:26">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spans="1:26">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spans="1:26">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spans="1:26">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spans="1:26">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spans="1:26">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spans="1:26">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spans="1:26">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spans="1:2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spans="1:26">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spans="1:26">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spans="1:26">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spans="1:26">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spans="1:26">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spans="1:26">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spans="1:26">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spans="1:26">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spans="1:26">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spans="1:2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spans="1:26">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spans="1:26">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spans="1:26">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spans="1:26">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spans="1:26">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spans="1:26">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spans="1:26">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spans="1:26">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spans="1:26">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spans="1:2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spans="1:26">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spans="1:26">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spans="1:26">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spans="1:26">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spans="1:26">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spans="1:26">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spans="1:26">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spans="1:26">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spans="1:26">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spans="1: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spans="1:26">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spans="1:26">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spans="1:26">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spans="1:26">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spans="1:26">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spans="1:26">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spans="1:26">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spans="1:26">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spans="1:26">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spans="1:2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spans="1:26">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spans="1:26">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spans="1:26">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spans="1:26">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spans="1:26">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spans="1:26">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spans="1:26">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spans="1:26">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spans="1:26">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spans="1:2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spans="1:26">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spans="1:26">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spans="1:26">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spans="1:26">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spans="1:26">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spans="1:26">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spans="1:26">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spans="1:26">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spans="1:26">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spans="1:2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spans="1:26">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spans="1:26">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spans="1:26">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spans="1:26">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spans="1:26">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spans="1:26">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spans="1:26">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spans="1:26">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spans="1:26">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spans="1:2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spans="1:26">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spans="1:26">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spans="1:26">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spans="1:26">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spans="1:26">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spans="1:26">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spans="1:26">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spans="1:26">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spans="1:26">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spans="1:2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spans="1:26">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spans="1:26">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spans="1:26">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spans="1:26">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spans="1:26">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spans="1:26">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spans="1:26">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spans="1:26">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spans="1:26">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spans="1:2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spans="1:26">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spans="1:26">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spans="1:26">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spans="1:26">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spans="1:26">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spans="1:26">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spans="1:26">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spans="1:26">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spans="1:26">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spans="1:2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spans="1:26">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spans="1:26">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spans="1:26">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spans="1:26">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spans="1:26">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spans="1:26">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spans="1:26">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spans="1:26">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spans="1:26">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spans="1:2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spans="1:26">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spans="1:26">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spans="1:26">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spans="1:26">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spans="1:26">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spans="1:26">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spans="1:26">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spans="1:26">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spans="1:26">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spans="1:2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spans="1:26">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spans="1:26">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spans="1:26">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spans="1:26">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spans="1:26">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spans="1:26">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spans="1:26">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spans="1:26">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spans="1:26">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spans="1: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spans="1:26">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spans="1:26">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spans="1:26">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spans="1:26">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spans="1:26">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spans="1:26">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spans="1:26">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spans="1:26">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spans="1:26">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spans="1:2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spans="1:26">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spans="1:26">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spans="1:26">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spans="1:26">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spans="1:26">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spans="1:26">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spans="1:26">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spans="1:26">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spans="1:26">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spans="1:2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spans="1:26">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spans="1:26">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spans="1:26">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spans="1:26">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spans="1:26">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spans="1:26">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spans="1:26">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spans="1:26">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spans="1:26">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spans="1:2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spans="1:26">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spans="1:26">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spans="1:26">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spans="1:26">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spans="1:26">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spans="1:26">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spans="1:26">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spans="1:26">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spans="1:26">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spans="1:2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spans="1:26">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spans="1:26">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spans="1:26">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spans="1:26">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spans="1:26">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spans="1:26">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spans="1:26">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spans="1:26">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spans="1:26">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spans="1:2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spans="1:26">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spans="1:26">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spans="1:26">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spans="1:26">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spans="1:26">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spans="1:26">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spans="1:26">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spans="1:26">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spans="1:26">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spans="1:2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spans="1:26">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spans="1:26">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spans="1:26">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spans="1:26">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spans="1:26">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spans="1:26">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spans="1:26">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spans="1:26">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spans="1:26">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spans="1:2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spans="1:26">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spans="1:26">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spans="1:26">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spans="1:26">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spans="1:26">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spans="1:26">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spans="1:26">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spans="1:26">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spans="1:26">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spans="1:2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spans="1:26">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spans="1:26">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spans="1:26">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spans="1:26">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spans="1:26">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spans="1:26">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spans="1:26">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spans="1:26">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spans="1:26">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spans="1:2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spans="1:26">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spans="1:26">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spans="1:26">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spans="1:26">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spans="1:26">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spans="1:26">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spans="1:26">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spans="1:26">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spans="1:26">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spans="1: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spans="1:26">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spans="1:26">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spans="1:26">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spans="1:26">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spans="1:26">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spans="1:26">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spans="1:26">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spans="1:26">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spans="1:26">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spans="1:2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spans="1:26">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spans="1:26">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spans="1:26">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spans="1:26">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spans="1:26">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spans="1:26">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spans="1:26">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spans="1:26">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spans="1:26">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spans="1:2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spans="1:26">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spans="1:26">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spans="1:26">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spans="1:26">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spans="1:26">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spans="1:26">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spans="1:26">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spans="1:26">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spans="1:26">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spans="1:2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spans="1:26">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spans="1:26">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spans="1:26">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spans="1:26">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spans="1:26">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spans="1:26">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spans="1:26">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spans="1:26">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spans="1:26">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spans="1:2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spans="1:26">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spans="1:26">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spans="1:26">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spans="1:26">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spans="1:26">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spans="1:26">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spans="1:26">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spans="1:26">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spans="1:26">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spans="1:2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spans="1:26">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spans="1:26">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spans="1:26">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spans="1:26">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spans="1:26">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spans="1:26">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spans="1:26">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spans="1:26">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spans="1:26">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spans="1:2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spans="1:26">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spans="1:26">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spans="1:26">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spans="1:26">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spans="1:26">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spans="1:26">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spans="1:26">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spans="1:26">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spans="1:26">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spans="1:2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spans="1:26">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spans="1:26">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spans="1:26">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spans="1:26">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spans="1:26">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spans="1:26">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spans="1:26">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spans="1:26">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spans="1:26">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spans="1:2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spans="1:26">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spans="1:26">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spans="1:26">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spans="1:26">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spans="1:26">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spans="1:26">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spans="1:26">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spans="1:26">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spans="1:26">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spans="1:2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spans="1:26">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spans="1:26">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spans="1:26">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spans="1:26">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spans="1:26">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spans="1:26">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spans="1:26">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spans="1:26">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A3" sqref="A3"/>
    </sheetView>
  </sheetViews>
  <sheetFormatPr defaultColWidth="8.88888888888889" defaultRowHeight="14.4" outlineLevelCol="1"/>
  <cols>
    <col min="1" max="1" width="19.7777777777778"/>
    <col min="2" max="2" width="12.6666666666667"/>
  </cols>
  <sheetData>
    <row r="3" spans="1:2">
      <c r="A3" t="s">
        <v>2</v>
      </c>
      <c r="B3" t="s">
        <v>3</v>
      </c>
    </row>
    <row r="4" spans="1:2">
      <c r="A4" t="s">
        <v>4</v>
      </c>
      <c r="B4">
        <v>47002.46</v>
      </c>
    </row>
    <row r="5" spans="1:2">
      <c r="A5" t="s">
        <v>5</v>
      </c>
      <c r="B5">
        <v>41927.59</v>
      </c>
    </row>
    <row r="6" spans="1:2">
      <c r="A6" t="s">
        <v>6</v>
      </c>
      <c r="B6">
        <v>41044</v>
      </c>
    </row>
    <row r="7" spans="1:2">
      <c r="A7" t="s">
        <v>7</v>
      </c>
      <c r="B7">
        <v>36612.89</v>
      </c>
    </row>
    <row r="8" spans="1:2">
      <c r="A8" t="s">
        <v>8</v>
      </c>
      <c r="B8">
        <v>28630.82</v>
      </c>
    </row>
    <row r="9" spans="1:2">
      <c r="A9" t="s">
        <v>9</v>
      </c>
      <c r="B9">
        <v>195217.76</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A3" sqref="A3"/>
    </sheetView>
  </sheetViews>
  <sheetFormatPr defaultColWidth="8.88888888888889" defaultRowHeight="14.4" outlineLevelCol="1"/>
  <cols>
    <col min="1" max="1" width="11.6666666666667"/>
    <col min="2" max="3" width="12.6666666666667"/>
  </cols>
  <sheetData>
    <row r="3" spans="1:2">
      <c r="A3" t="s">
        <v>10</v>
      </c>
      <c r="B3" t="s">
        <v>3</v>
      </c>
    </row>
    <row r="4" spans="1:2">
      <c r="A4" t="s">
        <v>11</v>
      </c>
      <c r="B4">
        <v>44083.58</v>
      </c>
    </row>
    <row r="5" spans="1:2">
      <c r="A5" t="s">
        <v>12</v>
      </c>
      <c r="B5">
        <v>34975.42</v>
      </c>
    </row>
    <row r="6" spans="1:2">
      <c r="A6" t="s">
        <v>13</v>
      </c>
      <c r="B6">
        <v>43468.33</v>
      </c>
    </row>
    <row r="7" spans="1:2">
      <c r="A7" t="s">
        <v>14</v>
      </c>
      <c r="B7">
        <v>40248.79</v>
      </c>
    </row>
    <row r="8" spans="1:2">
      <c r="A8" t="s">
        <v>15</v>
      </c>
      <c r="B8">
        <v>32441.64</v>
      </c>
    </row>
    <row r="9" spans="1:2">
      <c r="A9" t="s">
        <v>9</v>
      </c>
      <c r="B9">
        <v>195217.76</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52"/>
  <sheetViews>
    <sheetView workbookViewId="0">
      <selection activeCell="A3" sqref="A3"/>
    </sheetView>
  </sheetViews>
  <sheetFormatPr defaultColWidth="8.88888888888889" defaultRowHeight="14.4" outlineLevelCol="1"/>
  <cols>
    <col min="1" max="1" width="13.5555555555556"/>
    <col min="2" max="3" width="12.6666666666667"/>
  </cols>
  <sheetData>
    <row r="3" spans="1:2">
      <c r="A3" t="s">
        <v>16</v>
      </c>
      <c r="B3" t="s">
        <v>3</v>
      </c>
    </row>
    <row r="4" spans="1:2">
      <c r="A4" s="1">
        <v>45398</v>
      </c>
      <c r="B4">
        <v>2283.17</v>
      </c>
    </row>
    <row r="5" spans="1:2">
      <c r="A5" s="1">
        <v>45411</v>
      </c>
      <c r="B5">
        <v>1514.28</v>
      </c>
    </row>
    <row r="6" spans="1:2">
      <c r="A6" s="1">
        <v>45428</v>
      </c>
      <c r="B6">
        <v>1876.93</v>
      </c>
    </row>
    <row r="7" spans="1:2">
      <c r="A7" s="1">
        <v>45608</v>
      </c>
      <c r="B7">
        <v>1077.92</v>
      </c>
    </row>
    <row r="8" spans="1:2">
      <c r="A8" s="1">
        <v>45625</v>
      </c>
      <c r="B8">
        <v>894.55</v>
      </c>
    </row>
    <row r="9" spans="1:2">
      <c r="A9" s="1">
        <v>45640</v>
      </c>
      <c r="B9">
        <v>2921.05</v>
      </c>
    </row>
    <row r="10" spans="1:2">
      <c r="A10" s="1">
        <v>45651</v>
      </c>
      <c r="B10">
        <v>1926.08</v>
      </c>
    </row>
    <row r="11" spans="1:2">
      <c r="A11" s="1">
        <v>45466</v>
      </c>
      <c r="B11">
        <v>942.9</v>
      </c>
    </row>
    <row r="12" spans="1:2">
      <c r="A12" s="1">
        <v>45488</v>
      </c>
      <c r="B12">
        <v>2247.78</v>
      </c>
    </row>
    <row r="13" spans="1:2">
      <c r="A13" s="1">
        <v>45615</v>
      </c>
      <c r="B13">
        <v>3680.1</v>
      </c>
    </row>
    <row r="14" spans="1:2">
      <c r="A14" s="1">
        <v>45638</v>
      </c>
      <c r="B14">
        <v>806.03</v>
      </c>
    </row>
    <row r="15" spans="1:2">
      <c r="A15" s="1">
        <v>45693</v>
      </c>
      <c r="B15">
        <v>827.25</v>
      </c>
    </row>
    <row r="16" spans="1:2">
      <c r="A16" s="1">
        <v>45712</v>
      </c>
      <c r="B16">
        <v>2322.5</v>
      </c>
    </row>
    <row r="17" spans="1:2">
      <c r="A17" s="1">
        <v>45473</v>
      </c>
      <c r="B17">
        <v>2609.18</v>
      </c>
    </row>
    <row r="18" spans="1:2">
      <c r="A18" s="1">
        <v>45481</v>
      </c>
      <c r="B18">
        <v>1939.24</v>
      </c>
    </row>
    <row r="19" spans="1:2">
      <c r="A19" s="1">
        <v>45487</v>
      </c>
      <c r="B19">
        <v>1034.7</v>
      </c>
    </row>
    <row r="20" spans="1:2">
      <c r="A20" s="1">
        <v>45544</v>
      </c>
      <c r="B20">
        <v>2504.76</v>
      </c>
    </row>
    <row r="21" spans="1:2">
      <c r="A21" s="1">
        <v>45553</v>
      </c>
      <c r="B21">
        <v>1158.94</v>
      </c>
    </row>
    <row r="22" spans="1:2">
      <c r="A22" s="1">
        <v>45564</v>
      </c>
      <c r="B22">
        <v>1729.12</v>
      </c>
    </row>
    <row r="23" spans="1:2">
      <c r="A23" s="1">
        <v>45593</v>
      </c>
      <c r="B23">
        <v>661.09</v>
      </c>
    </row>
    <row r="24" spans="1:2">
      <c r="A24" s="1">
        <v>45726</v>
      </c>
      <c r="B24">
        <v>438.76</v>
      </c>
    </row>
    <row r="25" spans="1:2">
      <c r="A25" s="1">
        <v>45522</v>
      </c>
      <c r="B25">
        <v>518.07</v>
      </c>
    </row>
    <row r="26" spans="1:2">
      <c r="A26" s="1">
        <v>45547</v>
      </c>
      <c r="B26">
        <v>1443.98</v>
      </c>
    </row>
    <row r="27" spans="1:2">
      <c r="A27" s="1">
        <v>45613</v>
      </c>
      <c r="B27">
        <v>2702.62</v>
      </c>
    </row>
    <row r="28" spans="1:2">
      <c r="A28" s="1">
        <v>45698</v>
      </c>
      <c r="B28">
        <v>1311.26</v>
      </c>
    </row>
    <row r="29" spans="1:2">
      <c r="A29" s="1">
        <v>45703</v>
      </c>
      <c r="B29">
        <v>573.32</v>
      </c>
    </row>
    <row r="30" spans="1:2">
      <c r="A30" s="1">
        <v>45718</v>
      </c>
      <c r="B30">
        <v>1099.69</v>
      </c>
    </row>
    <row r="31" spans="1:2">
      <c r="A31" s="1">
        <v>45396</v>
      </c>
      <c r="B31">
        <v>1474.27</v>
      </c>
    </row>
    <row r="32" spans="1:2">
      <c r="A32" s="1">
        <v>45410</v>
      </c>
      <c r="B32">
        <v>1502.93</v>
      </c>
    </row>
    <row r="33" spans="1:2">
      <c r="A33" s="1">
        <v>45445</v>
      </c>
      <c r="B33">
        <v>1151.21</v>
      </c>
    </row>
    <row r="34" spans="1:2">
      <c r="A34" s="1">
        <v>45468</v>
      </c>
      <c r="B34">
        <v>1737.84</v>
      </c>
    </row>
    <row r="35" spans="1:2">
      <c r="A35" s="1">
        <v>45519</v>
      </c>
      <c r="B35">
        <v>1261.34</v>
      </c>
    </row>
    <row r="36" spans="1:2">
      <c r="A36" s="1">
        <v>45536</v>
      </c>
      <c r="B36">
        <v>1860.76</v>
      </c>
    </row>
    <row r="37" spans="1:2">
      <c r="A37" s="1">
        <v>45412</v>
      </c>
      <c r="B37">
        <v>1506.14</v>
      </c>
    </row>
    <row r="38" spans="1:2">
      <c r="A38" s="1">
        <v>45584</v>
      </c>
      <c r="B38">
        <v>1891.18</v>
      </c>
    </row>
    <row r="39" spans="1:2">
      <c r="A39" s="1">
        <v>45406</v>
      </c>
      <c r="B39">
        <v>2013.86</v>
      </c>
    </row>
    <row r="40" spans="1:2">
      <c r="A40" s="1">
        <v>45415</v>
      </c>
      <c r="B40">
        <v>953.3</v>
      </c>
    </row>
    <row r="41" spans="1:2">
      <c r="A41" s="1">
        <v>45422</v>
      </c>
      <c r="B41">
        <v>939.09</v>
      </c>
    </row>
    <row r="42" spans="1:2">
      <c r="A42" s="1">
        <v>45461</v>
      </c>
      <c r="B42">
        <v>1021.47</v>
      </c>
    </row>
    <row r="43" spans="1:2">
      <c r="A43" s="1">
        <v>45534</v>
      </c>
      <c r="B43">
        <v>1823.4</v>
      </c>
    </row>
    <row r="44" spans="1:2">
      <c r="A44" s="1">
        <v>45551</v>
      </c>
      <c r="B44">
        <v>1101.55</v>
      </c>
    </row>
    <row r="45" spans="1:2">
      <c r="A45" s="1">
        <v>45626</v>
      </c>
      <c r="B45">
        <v>833.91</v>
      </c>
    </row>
    <row r="46" spans="1:2">
      <c r="A46" s="1">
        <v>45734</v>
      </c>
      <c r="B46">
        <v>1493.49</v>
      </c>
    </row>
    <row r="47" spans="1:2">
      <c r="A47" s="1">
        <v>45743</v>
      </c>
      <c r="B47">
        <v>1512.85</v>
      </c>
    </row>
    <row r="48" spans="1:2">
      <c r="A48" s="1">
        <v>45434</v>
      </c>
      <c r="B48">
        <v>2183.15</v>
      </c>
    </row>
    <row r="49" spans="1:2">
      <c r="A49" s="1">
        <v>45457</v>
      </c>
      <c r="B49">
        <v>775.45</v>
      </c>
    </row>
    <row r="50" spans="1:2">
      <c r="A50" s="1">
        <v>45502</v>
      </c>
      <c r="B50">
        <v>804.81</v>
      </c>
    </row>
    <row r="51" spans="1:2">
      <c r="A51" s="1">
        <v>45567</v>
      </c>
      <c r="B51">
        <v>1014.09</v>
      </c>
    </row>
    <row r="52" spans="1:2">
      <c r="A52" s="1">
        <v>45577</v>
      </c>
      <c r="B52">
        <v>2042.76</v>
      </c>
    </row>
    <row r="53" spans="1:2">
      <c r="A53" s="1">
        <v>45599</v>
      </c>
      <c r="B53">
        <v>1014.22</v>
      </c>
    </row>
    <row r="54" spans="1:2">
      <c r="A54" s="1">
        <v>45674</v>
      </c>
      <c r="B54">
        <v>3445.38</v>
      </c>
    </row>
    <row r="55" spans="1:2">
      <c r="A55" s="1">
        <v>45745</v>
      </c>
      <c r="B55">
        <v>2550.32</v>
      </c>
    </row>
    <row r="56" spans="1:2">
      <c r="A56" s="1">
        <v>45401</v>
      </c>
      <c r="B56">
        <v>2313.32</v>
      </c>
    </row>
    <row r="57" spans="1:2">
      <c r="A57" s="1">
        <v>45585</v>
      </c>
      <c r="B57">
        <v>771.02</v>
      </c>
    </row>
    <row r="58" spans="1:2">
      <c r="A58" s="1">
        <v>45709</v>
      </c>
      <c r="B58">
        <v>1189.83</v>
      </c>
    </row>
    <row r="59" spans="1:2">
      <c r="A59" s="1">
        <v>45736</v>
      </c>
      <c r="B59">
        <v>689.43</v>
      </c>
    </row>
    <row r="60" spans="1:2">
      <c r="A60" s="1">
        <v>45742</v>
      </c>
      <c r="B60">
        <v>1184.25</v>
      </c>
    </row>
    <row r="61" spans="1:2">
      <c r="A61" s="1">
        <v>45418</v>
      </c>
      <c r="B61">
        <v>2098.43</v>
      </c>
    </row>
    <row r="62" spans="1:2">
      <c r="A62" s="1">
        <v>45479</v>
      </c>
      <c r="B62">
        <v>488.99</v>
      </c>
    </row>
    <row r="63" spans="1:2">
      <c r="A63" s="1">
        <v>45663</v>
      </c>
      <c r="B63">
        <v>862.19</v>
      </c>
    </row>
    <row r="64" spans="1:2">
      <c r="A64" s="1">
        <v>45752</v>
      </c>
      <c r="B64">
        <v>1543.05</v>
      </c>
    </row>
    <row r="65" spans="1:2">
      <c r="A65" s="1">
        <v>45450</v>
      </c>
      <c r="B65">
        <v>1001.57</v>
      </c>
    </row>
    <row r="66" spans="1:2">
      <c r="A66" s="1">
        <v>45616</v>
      </c>
      <c r="B66">
        <v>1471.99</v>
      </c>
    </row>
    <row r="67" spans="1:2">
      <c r="A67" s="1">
        <v>45658</v>
      </c>
      <c r="B67">
        <v>972.03</v>
      </c>
    </row>
    <row r="68" spans="1:2">
      <c r="A68" s="1">
        <v>45659</v>
      </c>
      <c r="B68">
        <v>884.63</v>
      </c>
    </row>
    <row r="69" spans="1:2">
      <c r="A69" s="1">
        <v>45393</v>
      </c>
      <c r="B69">
        <v>1101.28</v>
      </c>
    </row>
    <row r="70" spans="1:2">
      <c r="A70" s="1">
        <v>45429</v>
      </c>
      <c r="B70">
        <v>3482.09</v>
      </c>
    </row>
    <row r="71" spans="1:2">
      <c r="A71" s="1">
        <v>45509</v>
      </c>
      <c r="B71">
        <v>1344.22</v>
      </c>
    </row>
    <row r="72" spans="1:2">
      <c r="A72" s="1">
        <v>45513</v>
      </c>
      <c r="B72">
        <v>1215.26</v>
      </c>
    </row>
    <row r="73" spans="1:2">
      <c r="A73" s="1">
        <v>45570</v>
      </c>
      <c r="B73">
        <v>925.29</v>
      </c>
    </row>
    <row r="74" spans="1:2">
      <c r="A74" s="1">
        <v>45595</v>
      </c>
      <c r="B74">
        <v>688.83</v>
      </c>
    </row>
    <row r="75" spans="1:2">
      <c r="A75" s="1">
        <v>45707</v>
      </c>
      <c r="B75">
        <v>845.84</v>
      </c>
    </row>
    <row r="76" spans="1:2">
      <c r="A76" s="1">
        <v>45552</v>
      </c>
      <c r="B76">
        <v>1603.14</v>
      </c>
    </row>
    <row r="77" spans="1:2">
      <c r="A77" s="1">
        <v>45597</v>
      </c>
      <c r="B77">
        <v>1249.1</v>
      </c>
    </row>
    <row r="78" spans="1:2">
      <c r="A78" s="1">
        <v>45667</v>
      </c>
      <c r="B78">
        <v>1171.18</v>
      </c>
    </row>
    <row r="79" spans="1:2">
      <c r="A79" s="1">
        <v>45713</v>
      </c>
      <c r="B79">
        <v>1014.43</v>
      </c>
    </row>
    <row r="80" spans="1:2">
      <c r="A80" s="1">
        <v>45402</v>
      </c>
      <c r="B80">
        <v>1572.82</v>
      </c>
    </row>
    <row r="81" spans="1:2">
      <c r="A81" s="1">
        <v>45404</v>
      </c>
      <c r="B81">
        <v>1343.13</v>
      </c>
    </row>
    <row r="82" spans="1:2">
      <c r="A82" s="1">
        <v>45622</v>
      </c>
      <c r="B82">
        <v>2004.14</v>
      </c>
    </row>
    <row r="83" spans="1:2">
      <c r="A83" s="1">
        <v>45725</v>
      </c>
      <c r="B83">
        <v>1064.19</v>
      </c>
    </row>
    <row r="84" spans="1:2">
      <c r="A84" s="1">
        <v>45746</v>
      </c>
      <c r="B84">
        <v>2399.62</v>
      </c>
    </row>
    <row r="85" spans="1:2">
      <c r="A85" s="1">
        <v>45463</v>
      </c>
      <c r="B85">
        <v>1226.62</v>
      </c>
    </row>
    <row r="86" spans="1:2">
      <c r="A86" s="1">
        <v>45580</v>
      </c>
      <c r="B86">
        <v>1923.66</v>
      </c>
    </row>
    <row r="87" spans="1:2">
      <c r="A87" s="1">
        <v>45630</v>
      </c>
      <c r="B87">
        <v>820.19</v>
      </c>
    </row>
    <row r="88" spans="1:2">
      <c r="A88" s="1">
        <v>45631</v>
      </c>
      <c r="B88">
        <v>511.74</v>
      </c>
    </row>
    <row r="89" spans="1:2">
      <c r="A89" s="1">
        <v>45669</v>
      </c>
      <c r="B89">
        <v>1054.56</v>
      </c>
    </row>
    <row r="90" spans="1:2">
      <c r="A90" s="1">
        <v>45670</v>
      </c>
      <c r="B90">
        <v>1681.21</v>
      </c>
    </row>
    <row r="91" spans="1:2">
      <c r="A91" s="1">
        <v>45673</v>
      </c>
      <c r="B91">
        <v>379.77</v>
      </c>
    </row>
    <row r="92" spans="1:2">
      <c r="A92" s="1">
        <v>45692</v>
      </c>
      <c r="B92">
        <v>1098.08</v>
      </c>
    </row>
    <row r="93" spans="1:2">
      <c r="A93" s="1">
        <v>45435</v>
      </c>
      <c r="B93">
        <v>580.43</v>
      </c>
    </row>
    <row r="94" spans="1:2">
      <c r="A94" s="1">
        <v>45565</v>
      </c>
      <c r="B94">
        <v>1576.16</v>
      </c>
    </row>
    <row r="95" spans="1:2">
      <c r="A95" s="1">
        <v>45660</v>
      </c>
      <c r="B95">
        <v>1615.28</v>
      </c>
    </row>
    <row r="96" spans="1:2">
      <c r="A96" s="1">
        <v>45754</v>
      </c>
      <c r="B96">
        <v>928.32</v>
      </c>
    </row>
    <row r="97" spans="1:2">
      <c r="A97" s="1">
        <v>45449</v>
      </c>
      <c r="B97">
        <v>2082.12</v>
      </c>
    </row>
    <row r="98" spans="1:2">
      <c r="A98" s="1">
        <v>45717</v>
      </c>
      <c r="B98">
        <v>1022.23</v>
      </c>
    </row>
    <row r="99" spans="1:2">
      <c r="A99" s="1">
        <v>45557</v>
      </c>
      <c r="B99">
        <v>966.3</v>
      </c>
    </row>
    <row r="100" spans="1:2">
      <c r="A100" s="1">
        <v>45624</v>
      </c>
      <c r="B100">
        <v>1061.04</v>
      </c>
    </row>
    <row r="101" spans="1:2">
      <c r="A101" s="1">
        <v>45678</v>
      </c>
      <c r="B101">
        <v>640.64</v>
      </c>
    </row>
    <row r="102" spans="1:2">
      <c r="A102" s="1">
        <v>45715</v>
      </c>
      <c r="B102">
        <v>826.97</v>
      </c>
    </row>
    <row r="103" spans="1:2">
      <c r="A103" s="1">
        <v>45392</v>
      </c>
      <c r="B103">
        <v>1036.09</v>
      </c>
    </row>
    <row r="104" spans="1:2">
      <c r="A104" s="1">
        <v>45416</v>
      </c>
      <c r="B104">
        <v>1838.1</v>
      </c>
    </row>
    <row r="105" spans="1:2">
      <c r="A105" s="1">
        <v>45581</v>
      </c>
      <c r="B105">
        <v>2030.6</v>
      </c>
    </row>
    <row r="106" spans="1:2">
      <c r="A106" s="1">
        <v>45504</v>
      </c>
      <c r="B106">
        <v>981.2</v>
      </c>
    </row>
    <row r="107" spans="1:2">
      <c r="A107" s="1">
        <v>45558</v>
      </c>
      <c r="B107">
        <v>917.48</v>
      </c>
    </row>
    <row r="108" spans="1:2">
      <c r="A108" s="1">
        <v>45448</v>
      </c>
      <c r="B108">
        <v>2068.1</v>
      </c>
    </row>
    <row r="109" spans="1:2">
      <c r="A109" s="1">
        <v>45451</v>
      </c>
      <c r="B109">
        <v>1186.85</v>
      </c>
    </row>
    <row r="110" spans="1:2">
      <c r="A110" s="1">
        <v>45478</v>
      </c>
      <c r="B110">
        <v>1383.3</v>
      </c>
    </row>
    <row r="111" spans="1:2">
      <c r="A111" s="1">
        <v>45494</v>
      </c>
      <c r="B111">
        <v>1020.26</v>
      </c>
    </row>
    <row r="112" spans="1:2">
      <c r="A112" s="1">
        <v>45559</v>
      </c>
      <c r="B112">
        <v>2378.79</v>
      </c>
    </row>
    <row r="113" spans="1:2">
      <c r="A113" s="1">
        <v>45733</v>
      </c>
      <c r="B113">
        <v>984.93</v>
      </c>
    </row>
    <row r="114" spans="1:2">
      <c r="A114" s="1">
        <v>45549</v>
      </c>
      <c r="B114">
        <v>2418.82</v>
      </c>
    </row>
    <row r="115" spans="1:2">
      <c r="A115" s="1">
        <v>45650</v>
      </c>
      <c r="B115">
        <v>388.23</v>
      </c>
    </row>
    <row r="116" spans="1:2">
      <c r="A116" s="1">
        <v>45656</v>
      </c>
      <c r="B116">
        <v>1353.79</v>
      </c>
    </row>
    <row r="117" spans="1:2">
      <c r="A117" s="1">
        <v>45447</v>
      </c>
      <c r="B117">
        <v>1582.4</v>
      </c>
    </row>
    <row r="118" spans="1:2">
      <c r="A118" s="1">
        <v>45546</v>
      </c>
      <c r="B118">
        <v>873.7</v>
      </c>
    </row>
    <row r="119" spans="1:2">
      <c r="A119" s="1">
        <v>45738</v>
      </c>
      <c r="B119">
        <v>682.24</v>
      </c>
    </row>
    <row r="120" spans="1:2">
      <c r="A120" s="1">
        <v>45512</v>
      </c>
      <c r="B120">
        <v>1526.6</v>
      </c>
    </row>
    <row r="121" spans="1:2">
      <c r="A121" s="1">
        <v>45582</v>
      </c>
      <c r="B121">
        <v>980.18</v>
      </c>
    </row>
    <row r="122" spans="1:2">
      <c r="A122" s="1">
        <v>45677</v>
      </c>
      <c r="B122">
        <v>1622.62</v>
      </c>
    </row>
    <row r="123" spans="1:2">
      <c r="A123" s="1">
        <v>45695</v>
      </c>
      <c r="B123">
        <v>741.88</v>
      </c>
    </row>
    <row r="124" spans="1:2">
      <c r="A124" s="1">
        <v>45427</v>
      </c>
      <c r="B124">
        <v>1450.71</v>
      </c>
    </row>
    <row r="125" spans="1:2">
      <c r="A125" s="1">
        <v>45575</v>
      </c>
      <c r="B125">
        <v>1286.54</v>
      </c>
    </row>
    <row r="126" spans="1:2">
      <c r="A126" s="1">
        <v>45605</v>
      </c>
      <c r="B126">
        <v>1967.87</v>
      </c>
    </row>
    <row r="127" spans="1:2">
      <c r="A127" s="1">
        <v>45612</v>
      </c>
      <c r="B127">
        <v>1014.56</v>
      </c>
    </row>
    <row r="128" spans="1:2">
      <c r="A128" s="1">
        <v>45414</v>
      </c>
      <c r="B128">
        <v>645.02</v>
      </c>
    </row>
    <row r="129" spans="1:2">
      <c r="A129" s="1">
        <v>45523</v>
      </c>
      <c r="B129">
        <v>1111.34</v>
      </c>
    </row>
    <row r="130" spans="1:2">
      <c r="A130" s="1">
        <v>45646</v>
      </c>
      <c r="B130">
        <v>1231.26</v>
      </c>
    </row>
    <row r="131" spans="1:2">
      <c r="A131" s="1">
        <v>45647</v>
      </c>
      <c r="B131">
        <v>1161.67</v>
      </c>
    </row>
    <row r="132" spans="1:2">
      <c r="A132" s="1">
        <v>45708</v>
      </c>
      <c r="B132">
        <v>1029.8</v>
      </c>
    </row>
    <row r="133" spans="1:2">
      <c r="A133" s="1">
        <v>45426</v>
      </c>
      <c r="B133">
        <v>1784.55</v>
      </c>
    </row>
    <row r="134" spans="1:2">
      <c r="A134" s="1">
        <v>45611</v>
      </c>
      <c r="B134">
        <v>1163.01</v>
      </c>
    </row>
    <row r="135" spans="1:2">
      <c r="A135" s="1">
        <v>45705</v>
      </c>
      <c r="B135">
        <v>1115.22</v>
      </c>
    </row>
    <row r="136" spans="1:2">
      <c r="A136" s="1">
        <v>45721</v>
      </c>
      <c r="B136">
        <v>710.52</v>
      </c>
    </row>
    <row r="137" spans="1:2">
      <c r="A137" s="1">
        <v>45724</v>
      </c>
      <c r="B137">
        <v>499.18</v>
      </c>
    </row>
    <row r="138" spans="1:2">
      <c r="A138" s="1">
        <v>45749</v>
      </c>
      <c r="B138">
        <v>740.8</v>
      </c>
    </row>
    <row r="139" spans="1:2">
      <c r="A139" s="1">
        <v>45409</v>
      </c>
      <c r="B139">
        <v>521.67</v>
      </c>
    </row>
    <row r="140" spans="1:2">
      <c r="A140" s="1">
        <v>45471</v>
      </c>
      <c r="B140">
        <v>741.61</v>
      </c>
    </row>
    <row r="141" spans="1:2">
      <c r="A141" s="1">
        <v>45482</v>
      </c>
      <c r="B141">
        <v>1100.1</v>
      </c>
    </row>
    <row r="142" spans="1:2">
      <c r="A142" s="1">
        <v>45727</v>
      </c>
      <c r="B142">
        <v>864.98</v>
      </c>
    </row>
    <row r="143" spans="1:2">
      <c r="A143" s="1">
        <v>45741</v>
      </c>
      <c r="B143">
        <v>458.54</v>
      </c>
    </row>
    <row r="144" spans="1:2">
      <c r="A144" s="1">
        <v>45397</v>
      </c>
      <c r="B144">
        <v>847</v>
      </c>
    </row>
    <row r="145" spans="1:2">
      <c r="A145" s="1">
        <v>45420</v>
      </c>
      <c r="B145">
        <v>675.54</v>
      </c>
    </row>
    <row r="146" spans="1:2">
      <c r="A146" s="1">
        <v>45464</v>
      </c>
      <c r="B146">
        <v>1086.93</v>
      </c>
    </row>
    <row r="147" spans="1:2">
      <c r="A147" s="1">
        <v>45470</v>
      </c>
      <c r="B147">
        <v>973.26</v>
      </c>
    </row>
    <row r="148" spans="1:2">
      <c r="A148" s="1">
        <v>45503</v>
      </c>
      <c r="B148">
        <v>608.66</v>
      </c>
    </row>
    <row r="149" spans="1:2">
      <c r="A149" s="1">
        <v>45526</v>
      </c>
      <c r="B149">
        <v>1291.47</v>
      </c>
    </row>
    <row r="150" spans="1:2">
      <c r="A150" s="1">
        <v>45684</v>
      </c>
      <c r="B150">
        <v>585.16</v>
      </c>
    </row>
    <row r="151" spans="1:2">
      <c r="A151" s="1">
        <v>45690</v>
      </c>
      <c r="B151">
        <v>1109.98</v>
      </c>
    </row>
    <row r="152" spans="1:2">
      <c r="A152" t="s">
        <v>9</v>
      </c>
      <c r="B152">
        <v>195217.76</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G1" sqref="G$1:G$1048576"/>
    </sheetView>
  </sheetViews>
  <sheetFormatPr defaultColWidth="14.4259259259259" defaultRowHeight="15" customHeight="1"/>
  <cols>
    <col min="1" max="1" width="12.8888888888889" customWidth="1"/>
    <col min="2" max="2" width="17" customWidth="1"/>
    <col min="3" max="3" width="7.55555555555556" customWidth="1"/>
    <col min="4" max="4" width="17.7777777777778" customWidth="1"/>
    <col min="5" max="5" width="8.66666666666667" customWidth="1"/>
    <col min="6" max="7" width="9" customWidth="1"/>
    <col min="8" max="8" width="11.5555555555556" style="1" customWidth="1"/>
    <col min="9" max="9" width="7.66666666666667" customWidth="1"/>
    <col min="10" max="11" width="8.71296296296296" customWidth="1"/>
    <col min="12" max="12" width="17" customWidth="1"/>
    <col min="13" max="25" width="8.71296296296296" customWidth="1"/>
  </cols>
  <sheetData>
    <row r="1" ht="14.4" spans="1:25">
      <c r="A1" s="2" t="s">
        <v>17</v>
      </c>
      <c r="B1" s="2" t="s">
        <v>18</v>
      </c>
      <c r="C1" s="2" t="s">
        <v>10</v>
      </c>
      <c r="D1" s="2" t="s">
        <v>2</v>
      </c>
      <c r="E1" s="2" t="s">
        <v>19</v>
      </c>
      <c r="F1" s="2" t="s">
        <v>20</v>
      </c>
      <c r="G1" s="2" t="s">
        <v>21</v>
      </c>
      <c r="H1" s="3" t="s">
        <v>16</v>
      </c>
      <c r="I1" s="2" t="s">
        <v>22</v>
      </c>
      <c r="J1" s="4" t="s">
        <v>23</v>
      </c>
      <c r="K1" s="4"/>
      <c r="L1" s="4"/>
      <c r="M1" s="4"/>
      <c r="N1" s="4"/>
      <c r="O1" s="4"/>
      <c r="P1" s="4"/>
      <c r="Q1" s="4"/>
      <c r="R1" s="7" t="s">
        <v>19</v>
      </c>
      <c r="S1" s="7" t="s">
        <v>21</v>
      </c>
      <c r="T1" s="7" t="s">
        <v>22</v>
      </c>
      <c r="U1" s="4" t="s">
        <v>24</v>
      </c>
      <c r="V1" s="4"/>
      <c r="W1" s="4"/>
      <c r="X1" s="4"/>
      <c r="Y1" s="4"/>
    </row>
    <row r="2" ht="14.4" spans="1:21">
      <c r="A2" t="s">
        <v>25</v>
      </c>
      <c r="B2" t="s">
        <v>26</v>
      </c>
      <c r="C2" t="s">
        <v>11</v>
      </c>
      <c r="D2" t="s">
        <v>6</v>
      </c>
      <c r="E2">
        <v>1317.53</v>
      </c>
      <c r="F2">
        <v>12</v>
      </c>
      <c r="G2">
        <v>0.05</v>
      </c>
      <c r="H2" s="1">
        <v>45398</v>
      </c>
      <c r="I2">
        <v>312.91</v>
      </c>
      <c r="J2" s="5">
        <f>SUMIF($A$2:$A$201,A2,$E$2:$E$201)</f>
        <v>6549.55</v>
      </c>
      <c r="K2" t="str" cm="1">
        <f t="array" ref="K2:K31">_xlfn.UNIQUE(A2:A200)</f>
        <v>CUST001</v>
      </c>
      <c r="L2" t="str" cm="1">
        <f t="array" ref="L2">INDEX(B:B,MATCH(K2,A:A,0))</f>
        <v>Linda Wilson</v>
      </c>
      <c r="M2" cm="1">
        <f t="array" ref="M2">INDEX(J:J,MATCH(K2,A:A,0))</f>
        <v>6549.55</v>
      </c>
      <c r="R2" s="8">
        <v>1317.53</v>
      </c>
      <c r="S2" s="8">
        <v>0.05</v>
      </c>
      <c r="T2" s="8">
        <v>312.91</v>
      </c>
      <c r="U2">
        <f>R2-T2</f>
        <v>1004.62</v>
      </c>
    </row>
    <row r="3" ht="14.4" spans="1:21">
      <c r="A3" t="s">
        <v>25</v>
      </c>
      <c r="B3" t="s">
        <v>27</v>
      </c>
      <c r="C3" t="s">
        <v>11</v>
      </c>
      <c r="D3" t="s">
        <v>4</v>
      </c>
      <c r="E3">
        <v>636.7</v>
      </c>
      <c r="F3">
        <v>4</v>
      </c>
      <c r="G3">
        <v>0.2</v>
      </c>
      <c r="H3" s="1">
        <v>45411</v>
      </c>
      <c r="I3">
        <v>203.74</v>
      </c>
      <c r="J3" s="5">
        <f t="shared" ref="J2:J33" si="0">SUMIF($A$2:$A$201,A3,$E$2:$E$201)</f>
        <v>6549.55</v>
      </c>
      <c r="K3" t="str">
        <v>CUST002</v>
      </c>
      <c r="L3" t="str" cm="1">
        <f t="array" ref="L3">INDEX(B:B,MATCH(K3,A:A,0))</f>
        <v>Lisa Davis</v>
      </c>
      <c r="M3" cm="1">
        <f t="array" ref="M3">INDEX(J:J,MATCH(K3,A:A,0))</f>
        <v>6481.43</v>
      </c>
      <c r="O3" s="6" t="s">
        <v>25</v>
      </c>
      <c r="P3">
        <f>SUMIF($O$3:$O$32,O3,$E$2:$E$201)</f>
        <v>1317.53</v>
      </c>
      <c r="R3" s="9">
        <v>636.7</v>
      </c>
      <c r="S3" s="9">
        <v>0.2</v>
      </c>
      <c r="T3" s="9">
        <v>203.74</v>
      </c>
      <c r="U3">
        <f t="shared" ref="U3:U34" si="1">R3-T3</f>
        <v>432.96</v>
      </c>
    </row>
    <row r="4" ht="14.4" spans="1:21">
      <c r="A4" t="s">
        <v>25</v>
      </c>
      <c r="B4" t="s">
        <v>28</v>
      </c>
      <c r="C4" t="s">
        <v>11</v>
      </c>
      <c r="D4" t="s">
        <v>7</v>
      </c>
      <c r="E4">
        <v>853.72</v>
      </c>
      <c r="F4">
        <v>5</v>
      </c>
      <c r="G4">
        <v>0.15</v>
      </c>
      <c r="H4" s="1">
        <v>45428</v>
      </c>
      <c r="I4">
        <v>253.98</v>
      </c>
      <c r="J4" s="5">
        <f t="shared" si="0"/>
        <v>6549.55</v>
      </c>
      <c r="K4" t="str">
        <v>CUST003</v>
      </c>
      <c r="L4" t="str" cm="1">
        <f t="array" ref="L4">INDEX(B:B,MATCH(K4,A:A,0))</f>
        <v>Emma Davis</v>
      </c>
      <c r="M4" cm="1">
        <f t="array" ref="M4">INDEX(J:J,MATCH(K4,A:A,0))</f>
        <v>8490.18</v>
      </c>
      <c r="O4" s="6" t="s">
        <v>29</v>
      </c>
      <c r="P4">
        <f t="shared" ref="P4:P32" si="2">SUMIF($O$3:$O$32,O4,$E$2:$E$201)</f>
        <v>636.7</v>
      </c>
      <c r="R4" s="8">
        <v>853.72</v>
      </c>
      <c r="S4" s="8">
        <v>0.15</v>
      </c>
      <c r="T4" s="8">
        <v>253.98</v>
      </c>
      <c r="U4">
        <f t="shared" si="1"/>
        <v>599.74</v>
      </c>
    </row>
    <row r="5" ht="14.4" spans="1:21">
      <c r="A5" t="s">
        <v>25</v>
      </c>
      <c r="B5" t="s">
        <v>27</v>
      </c>
      <c r="C5" t="s">
        <v>12</v>
      </c>
      <c r="D5" t="s">
        <v>7</v>
      </c>
      <c r="E5">
        <v>1077.92</v>
      </c>
      <c r="F5">
        <v>3</v>
      </c>
      <c r="G5">
        <v>0.05</v>
      </c>
      <c r="H5" s="1">
        <v>45608</v>
      </c>
      <c r="I5">
        <v>358.41</v>
      </c>
      <c r="J5" s="5">
        <f t="shared" si="0"/>
        <v>6549.55</v>
      </c>
      <c r="K5" t="str">
        <v>CUST004</v>
      </c>
      <c r="L5" t="str" cm="1">
        <f t="array" ref="L5">INDEX(B:B,MATCH(K5,A:A,0))</f>
        <v>Lisa Thomas</v>
      </c>
      <c r="M5" cm="1">
        <f t="array" ref="M5">INDEX(J:J,MATCH(K5,A:A,0))</f>
        <v>7813.59</v>
      </c>
      <c r="O5" s="6" t="s">
        <v>30</v>
      </c>
      <c r="P5">
        <f t="shared" si="2"/>
        <v>853.72</v>
      </c>
      <c r="R5" s="9">
        <v>1077.92</v>
      </c>
      <c r="S5" s="9">
        <v>0.05</v>
      </c>
      <c r="T5" s="9">
        <v>358.41</v>
      </c>
      <c r="U5">
        <f t="shared" si="1"/>
        <v>719.51</v>
      </c>
    </row>
    <row r="6" ht="14.4" spans="1:21">
      <c r="A6" t="s">
        <v>25</v>
      </c>
      <c r="B6" t="s">
        <v>31</v>
      </c>
      <c r="C6" t="s">
        <v>11</v>
      </c>
      <c r="D6" t="s">
        <v>6</v>
      </c>
      <c r="E6">
        <v>894.55</v>
      </c>
      <c r="F6">
        <v>19</v>
      </c>
      <c r="G6">
        <v>0.2</v>
      </c>
      <c r="H6" s="1">
        <v>45625</v>
      </c>
      <c r="I6">
        <v>178.91</v>
      </c>
      <c r="J6" s="5">
        <f t="shared" si="0"/>
        <v>6549.55</v>
      </c>
      <c r="K6" t="str">
        <v>CUST005</v>
      </c>
      <c r="L6" t="str" cm="1">
        <f t="array" ref="L6">INDEX(B:B,MATCH(K6,A:A,0))</f>
        <v>Robert Anderson</v>
      </c>
      <c r="M6" cm="1">
        <f t="array" ref="M6">INDEX(J:J,MATCH(K6,A:A,0))</f>
        <v>6666.13</v>
      </c>
      <c r="O6" s="6" t="s">
        <v>32</v>
      </c>
      <c r="P6">
        <f t="shared" si="2"/>
        <v>1077.92</v>
      </c>
      <c r="R6" s="8">
        <v>894.55</v>
      </c>
      <c r="S6" s="8">
        <v>0.2</v>
      </c>
      <c r="T6" s="8">
        <v>178.91</v>
      </c>
      <c r="U6">
        <f t="shared" si="1"/>
        <v>715.64</v>
      </c>
    </row>
    <row r="7" ht="14.4" spans="1:21">
      <c r="A7" t="s">
        <v>25</v>
      </c>
      <c r="B7" t="s">
        <v>33</v>
      </c>
      <c r="C7" t="s">
        <v>13</v>
      </c>
      <c r="D7" t="s">
        <v>7</v>
      </c>
      <c r="E7">
        <v>1432.47</v>
      </c>
      <c r="F7">
        <v>16</v>
      </c>
      <c r="G7">
        <v>0.15</v>
      </c>
      <c r="H7" s="1">
        <v>45640</v>
      </c>
      <c r="I7">
        <v>426.16</v>
      </c>
      <c r="J7" s="5">
        <f t="shared" si="0"/>
        <v>6549.55</v>
      </c>
      <c r="K7" t="str">
        <v>CUST006</v>
      </c>
      <c r="L7" t="str" cm="1">
        <f t="array" ref="L7">INDEX(B:B,MATCH(K7,A:A,0))</f>
        <v>Mary Jackson</v>
      </c>
      <c r="M7" cm="1">
        <f t="array" ref="M7">INDEX(J:J,MATCH(K7,A:A,0))</f>
        <v>2699.75</v>
      </c>
      <c r="O7" s="6" t="s">
        <v>34</v>
      </c>
      <c r="P7">
        <f t="shared" si="2"/>
        <v>894.55</v>
      </c>
      <c r="R7" s="9">
        <v>1432.47</v>
      </c>
      <c r="S7" s="9">
        <v>0.15</v>
      </c>
      <c r="T7" s="9">
        <v>426.16</v>
      </c>
      <c r="U7">
        <f t="shared" si="1"/>
        <v>1006.31</v>
      </c>
    </row>
    <row r="8" ht="14.4" spans="1:21">
      <c r="A8" t="s">
        <v>25</v>
      </c>
      <c r="B8" t="s">
        <v>35</v>
      </c>
      <c r="C8" t="s">
        <v>12</v>
      </c>
      <c r="D8" t="s">
        <v>5</v>
      </c>
      <c r="E8">
        <v>336.66</v>
      </c>
      <c r="F8">
        <v>13</v>
      </c>
      <c r="G8">
        <v>0.2</v>
      </c>
      <c r="H8" s="1">
        <v>45651</v>
      </c>
      <c r="I8">
        <v>134.66</v>
      </c>
      <c r="J8" s="5">
        <f t="shared" si="0"/>
        <v>6549.55</v>
      </c>
      <c r="K8" t="str">
        <v>CUST007</v>
      </c>
      <c r="L8" t="str" cm="1">
        <f t="array" ref="L8">INDEX(B:B,MATCH(K8,A:A,0))</f>
        <v>Michael Anderson</v>
      </c>
      <c r="M8" cm="1">
        <f t="array" ref="M8">INDEX(J:J,MATCH(K8,A:A,0))</f>
        <v>9941.88</v>
      </c>
      <c r="O8" s="6" t="s">
        <v>36</v>
      </c>
      <c r="P8">
        <f t="shared" si="2"/>
        <v>1432.47</v>
      </c>
      <c r="R8" s="8">
        <v>336.66</v>
      </c>
      <c r="S8" s="8">
        <v>0.2</v>
      </c>
      <c r="T8" s="8">
        <v>134.66</v>
      </c>
      <c r="U8">
        <f t="shared" si="1"/>
        <v>202</v>
      </c>
    </row>
    <row r="9" ht="14.4" spans="1:21">
      <c r="A9" t="s">
        <v>29</v>
      </c>
      <c r="B9" t="s">
        <v>37</v>
      </c>
      <c r="C9" t="s">
        <v>11</v>
      </c>
      <c r="D9" t="s">
        <v>4</v>
      </c>
      <c r="E9">
        <v>942.9</v>
      </c>
      <c r="F9">
        <v>18</v>
      </c>
      <c r="G9">
        <v>0.1</v>
      </c>
      <c r="H9" s="1">
        <v>45466</v>
      </c>
      <c r="I9">
        <v>339.44</v>
      </c>
      <c r="J9" s="5">
        <f t="shared" si="0"/>
        <v>6481.43</v>
      </c>
      <c r="K9" t="str">
        <v>CUST008</v>
      </c>
      <c r="L9" t="str" cm="1">
        <f t="array" ref="L9">INDEX(B:B,MATCH(K9,A:A,0))</f>
        <v>Robert Anderson</v>
      </c>
      <c r="M9" cm="1">
        <f t="array" ref="M9">INDEX(J:J,MATCH(K9,A:A,0))</f>
        <v>9760.8</v>
      </c>
      <c r="O9" s="6" t="s">
        <v>38</v>
      </c>
      <c r="P9">
        <f t="shared" si="2"/>
        <v>336.66</v>
      </c>
      <c r="R9" s="9">
        <v>942.9</v>
      </c>
      <c r="S9" s="9">
        <v>0.1</v>
      </c>
      <c r="T9" s="9">
        <v>339.44</v>
      </c>
      <c r="U9">
        <f t="shared" si="1"/>
        <v>603.46</v>
      </c>
    </row>
    <row r="10" ht="14.4" spans="1:21">
      <c r="A10" t="s">
        <v>29</v>
      </c>
      <c r="B10" t="s">
        <v>39</v>
      </c>
      <c r="C10" t="s">
        <v>14</v>
      </c>
      <c r="D10" t="s">
        <v>4</v>
      </c>
      <c r="E10">
        <v>876.44</v>
      </c>
      <c r="F10">
        <v>12</v>
      </c>
      <c r="G10">
        <v>0.05</v>
      </c>
      <c r="H10" s="1">
        <v>45488</v>
      </c>
      <c r="I10">
        <v>333.05</v>
      </c>
      <c r="J10" s="5">
        <f t="shared" si="0"/>
        <v>6481.43</v>
      </c>
      <c r="K10" t="str">
        <v>CUST009</v>
      </c>
      <c r="L10" t="str" cm="1">
        <f t="array" ref="L10">INDEX(B:B,MATCH(K10,A:A,0))</f>
        <v>Linda Jackson</v>
      </c>
      <c r="M10" cm="1">
        <f t="array" ref="M10">INDEX(J:J,MATCH(K10,A:A,0))</f>
        <v>6505.2</v>
      </c>
      <c r="O10" s="6" t="s">
        <v>40</v>
      </c>
      <c r="P10">
        <f t="shared" si="2"/>
        <v>942.9</v>
      </c>
      <c r="R10" s="8">
        <v>876.44</v>
      </c>
      <c r="S10" s="8">
        <v>0.05</v>
      </c>
      <c r="T10" s="8">
        <v>333.05</v>
      </c>
      <c r="U10">
        <f t="shared" si="1"/>
        <v>543.39</v>
      </c>
    </row>
    <row r="11" ht="14.4" spans="1:21">
      <c r="A11" t="s">
        <v>29</v>
      </c>
      <c r="B11" t="s">
        <v>41</v>
      </c>
      <c r="C11" t="s">
        <v>15</v>
      </c>
      <c r="D11" t="s">
        <v>6</v>
      </c>
      <c r="E11">
        <v>1410.59</v>
      </c>
      <c r="F11">
        <v>15</v>
      </c>
      <c r="G11">
        <v>0</v>
      </c>
      <c r="H11" s="1">
        <v>45615</v>
      </c>
      <c r="I11">
        <v>352.65</v>
      </c>
      <c r="J11" s="5">
        <f t="shared" si="0"/>
        <v>6481.43</v>
      </c>
      <c r="K11" t="str">
        <v>CUST010</v>
      </c>
      <c r="L11" t="str" cm="1">
        <f t="array" ref="L11">INDEX(B:B,MATCH(K11,A:A,0))</f>
        <v>David Thomas</v>
      </c>
      <c r="M11" cm="1">
        <f t="array" ref="M11">INDEX(J:J,MATCH(K11,A:A,0))</f>
        <v>4259.22</v>
      </c>
      <c r="O11" s="6" t="s">
        <v>42</v>
      </c>
      <c r="P11">
        <f t="shared" si="2"/>
        <v>876.44</v>
      </c>
      <c r="R11" s="9">
        <v>1410.59</v>
      </c>
      <c r="S11" s="9">
        <v>0</v>
      </c>
      <c r="T11" s="9">
        <v>352.65</v>
      </c>
      <c r="U11">
        <f t="shared" si="1"/>
        <v>1057.94</v>
      </c>
    </row>
    <row r="12" ht="14.4" spans="1:21">
      <c r="A12" t="s">
        <v>29</v>
      </c>
      <c r="B12" t="s">
        <v>43</v>
      </c>
      <c r="C12" t="s">
        <v>14</v>
      </c>
      <c r="D12" t="s">
        <v>7</v>
      </c>
      <c r="E12">
        <v>806.03</v>
      </c>
      <c r="F12">
        <v>19</v>
      </c>
      <c r="G12">
        <v>0.05</v>
      </c>
      <c r="H12" s="1">
        <v>45638</v>
      </c>
      <c r="I12">
        <v>268</v>
      </c>
      <c r="J12" s="5">
        <f t="shared" si="0"/>
        <v>6481.43</v>
      </c>
      <c r="K12" t="str">
        <v>CUST011</v>
      </c>
      <c r="L12" t="str" cm="1">
        <f t="array" ref="L12">INDEX(B:B,MATCH(K12,A:A,0))</f>
        <v>Mary Davis</v>
      </c>
      <c r="M12" cm="1">
        <f t="array" ref="M12">INDEX(J:J,MATCH(K12,A:A,0))</f>
        <v>3762.29</v>
      </c>
      <c r="O12" s="6" t="s">
        <v>44</v>
      </c>
      <c r="P12">
        <f t="shared" si="2"/>
        <v>1410.59</v>
      </c>
      <c r="R12" s="8">
        <v>806.03</v>
      </c>
      <c r="S12" s="8">
        <v>0.05</v>
      </c>
      <c r="T12" s="8">
        <v>268</v>
      </c>
      <c r="U12">
        <f t="shared" si="1"/>
        <v>538.03</v>
      </c>
    </row>
    <row r="13" ht="14.4" spans="1:21">
      <c r="A13" t="s">
        <v>29</v>
      </c>
      <c r="B13" t="s">
        <v>37</v>
      </c>
      <c r="C13" t="s">
        <v>11</v>
      </c>
      <c r="D13" t="s">
        <v>8</v>
      </c>
      <c r="E13">
        <v>827.25</v>
      </c>
      <c r="F13">
        <v>7</v>
      </c>
      <c r="G13">
        <v>0.1</v>
      </c>
      <c r="H13" s="1">
        <v>45693</v>
      </c>
      <c r="I13">
        <v>335.04</v>
      </c>
      <c r="J13" s="5">
        <f t="shared" si="0"/>
        <v>6481.43</v>
      </c>
      <c r="K13" t="str">
        <v>CUST012</v>
      </c>
      <c r="L13" t="str" cm="1">
        <f t="array" ref="L13">INDEX(B:B,MATCH(K13,A:A,0))</f>
        <v>Robert Anderson</v>
      </c>
      <c r="M13" cm="1">
        <f t="array" ref="M13">INDEX(J:J,MATCH(K13,A:A,0))</f>
        <v>8339</v>
      </c>
      <c r="O13" s="6" t="s">
        <v>45</v>
      </c>
      <c r="P13">
        <f t="shared" si="2"/>
        <v>806.03</v>
      </c>
      <c r="R13" s="9">
        <v>827.25</v>
      </c>
      <c r="S13" s="9">
        <v>0.1</v>
      </c>
      <c r="T13" s="9">
        <v>335.04</v>
      </c>
      <c r="U13">
        <f t="shared" si="1"/>
        <v>492.21</v>
      </c>
    </row>
    <row r="14" ht="14.4" spans="1:21">
      <c r="A14" t="s">
        <v>29</v>
      </c>
      <c r="B14" t="s">
        <v>28</v>
      </c>
      <c r="C14" t="s">
        <v>13</v>
      </c>
      <c r="D14" t="s">
        <v>8</v>
      </c>
      <c r="E14">
        <v>1618.22</v>
      </c>
      <c r="F14">
        <v>12</v>
      </c>
      <c r="G14">
        <v>0.2</v>
      </c>
      <c r="H14" s="1">
        <v>45712</v>
      </c>
      <c r="I14">
        <v>582.56</v>
      </c>
      <c r="J14" s="5">
        <f t="shared" si="0"/>
        <v>6481.43</v>
      </c>
      <c r="K14" t="str">
        <v>CUST013</v>
      </c>
      <c r="L14" t="str" cm="1">
        <f t="array" ref="L14">INDEX(B:B,MATCH(K14,A:A,0))</f>
        <v>Robert Anderson</v>
      </c>
      <c r="M14" cm="1">
        <f t="array" ref="M14">INDEX(J:J,MATCH(K14,A:A,0))</f>
        <v>4162.44</v>
      </c>
      <c r="O14" s="6" t="s">
        <v>46</v>
      </c>
      <c r="P14">
        <f t="shared" si="2"/>
        <v>827.25</v>
      </c>
      <c r="R14" s="8">
        <v>1618.22</v>
      </c>
      <c r="S14" s="8">
        <v>0.2</v>
      </c>
      <c r="T14" s="8">
        <v>582.56</v>
      </c>
      <c r="U14">
        <f t="shared" si="1"/>
        <v>1035.66</v>
      </c>
    </row>
    <row r="15" ht="14.4" spans="1:21">
      <c r="A15" t="s">
        <v>30</v>
      </c>
      <c r="B15" t="s">
        <v>47</v>
      </c>
      <c r="C15" t="s">
        <v>12</v>
      </c>
      <c r="D15" t="s">
        <v>4</v>
      </c>
      <c r="E15">
        <v>1248.82</v>
      </c>
      <c r="F15">
        <v>2</v>
      </c>
      <c r="G15">
        <v>0.1</v>
      </c>
      <c r="H15" s="1">
        <v>45473</v>
      </c>
      <c r="I15">
        <v>449.58</v>
      </c>
      <c r="J15" s="5">
        <f t="shared" si="0"/>
        <v>8490.18</v>
      </c>
      <c r="K15" t="str">
        <v>CUST014</v>
      </c>
      <c r="L15" t="str" cm="1">
        <f t="array" ref="L15">INDEX(B:B,MATCH(K15,A:A,0))</f>
        <v>Emma Davis</v>
      </c>
      <c r="M15" cm="1">
        <f t="array" ref="M15">INDEX(J:J,MATCH(K15,A:A,0))</f>
        <v>6729.89</v>
      </c>
      <c r="O15" s="6" t="s">
        <v>48</v>
      </c>
      <c r="P15">
        <f t="shared" si="2"/>
        <v>1618.22</v>
      </c>
      <c r="R15" s="9">
        <v>1248.82</v>
      </c>
      <c r="S15" s="9">
        <v>0.1</v>
      </c>
      <c r="T15" s="9">
        <v>449.58</v>
      </c>
      <c r="U15">
        <f t="shared" si="1"/>
        <v>799.24</v>
      </c>
    </row>
    <row r="16" ht="14.4" spans="1:21">
      <c r="A16" t="s">
        <v>30</v>
      </c>
      <c r="B16" t="s">
        <v>49</v>
      </c>
      <c r="C16" t="s">
        <v>11</v>
      </c>
      <c r="D16" t="s">
        <v>6</v>
      </c>
      <c r="E16">
        <v>1005.53</v>
      </c>
      <c r="F16">
        <v>17</v>
      </c>
      <c r="G16">
        <v>0.2</v>
      </c>
      <c r="H16" s="1">
        <v>45481</v>
      </c>
      <c r="I16">
        <v>201.11</v>
      </c>
      <c r="J16" s="5">
        <f t="shared" si="0"/>
        <v>8490.18</v>
      </c>
      <c r="K16" t="str">
        <v>CUST015</v>
      </c>
      <c r="L16" t="str" cm="1">
        <f t="array" ref="L16">INDEX(B:B,MATCH(K16,A:A,0))</f>
        <v>Linda Taylor</v>
      </c>
      <c r="M16" cm="1">
        <f t="array" ref="M16">INDEX(J:J,MATCH(K16,A:A,0))</f>
        <v>11611.06</v>
      </c>
      <c r="O16" s="6" t="s">
        <v>50</v>
      </c>
      <c r="P16">
        <f t="shared" si="2"/>
        <v>1248.82</v>
      </c>
      <c r="R16" s="8">
        <v>1005.53</v>
      </c>
      <c r="S16" s="8">
        <v>0.2</v>
      </c>
      <c r="T16" s="8">
        <v>201.11</v>
      </c>
      <c r="U16">
        <f t="shared" si="1"/>
        <v>804.42</v>
      </c>
    </row>
    <row r="17" ht="14.4" spans="1:21">
      <c r="A17" t="s">
        <v>30</v>
      </c>
      <c r="B17" t="s">
        <v>51</v>
      </c>
      <c r="C17" t="s">
        <v>12</v>
      </c>
      <c r="D17" t="s">
        <v>7</v>
      </c>
      <c r="E17">
        <v>1034.7</v>
      </c>
      <c r="F17">
        <v>15</v>
      </c>
      <c r="G17">
        <v>0.15</v>
      </c>
      <c r="H17" s="1">
        <v>45487</v>
      </c>
      <c r="I17">
        <v>307.82</v>
      </c>
      <c r="J17" s="5">
        <f t="shared" si="0"/>
        <v>8490.18</v>
      </c>
      <c r="K17" t="str">
        <v>CUST016</v>
      </c>
      <c r="L17" t="str" cm="1">
        <f t="array" ref="L17">INDEX(B:B,MATCH(K17,A:A,0))</f>
        <v>Emma Wilson</v>
      </c>
      <c r="M17" cm="1">
        <f t="array" ref="M17">INDEX(J:J,MATCH(K17,A:A,0))</f>
        <v>3369.17</v>
      </c>
      <c r="O17" s="6" t="s">
        <v>52</v>
      </c>
      <c r="P17">
        <f t="shared" si="2"/>
        <v>1005.53</v>
      </c>
      <c r="R17" s="9">
        <v>1034.7</v>
      </c>
      <c r="S17" s="9">
        <v>0.15</v>
      </c>
      <c r="T17" s="9">
        <v>307.82</v>
      </c>
      <c r="U17">
        <f t="shared" si="1"/>
        <v>726.88</v>
      </c>
    </row>
    <row r="18" ht="14.4" spans="1:21">
      <c r="A18" t="s">
        <v>30</v>
      </c>
      <c r="B18" t="s">
        <v>49</v>
      </c>
      <c r="C18" t="s">
        <v>14</v>
      </c>
      <c r="D18" t="s">
        <v>6</v>
      </c>
      <c r="E18">
        <v>1335.87</v>
      </c>
      <c r="F18">
        <v>17</v>
      </c>
      <c r="G18">
        <v>0</v>
      </c>
      <c r="H18" s="1">
        <v>45544</v>
      </c>
      <c r="I18">
        <v>333.97</v>
      </c>
      <c r="J18" s="5">
        <f t="shared" si="0"/>
        <v>8490.18</v>
      </c>
      <c r="K18" t="str">
        <v>CUST017</v>
      </c>
      <c r="L18" t="str" cm="1">
        <f t="array" ref="L18">INDEX(B:B,MATCH(K18,A:A,0))</f>
        <v>James Taylor</v>
      </c>
      <c r="M18" cm="1">
        <f t="array" ref="M18">INDEX(J:J,MATCH(K18,A:A,0))</f>
        <v>3419.2</v>
      </c>
      <c r="O18" s="6" t="s">
        <v>53</v>
      </c>
      <c r="P18">
        <f t="shared" si="2"/>
        <v>1034.7</v>
      </c>
      <c r="R18" s="8">
        <v>1335.87</v>
      </c>
      <c r="S18" s="8">
        <v>0</v>
      </c>
      <c r="T18" s="8">
        <v>333.97</v>
      </c>
      <c r="U18">
        <f t="shared" si="1"/>
        <v>1001.9</v>
      </c>
    </row>
    <row r="19" ht="14.4" spans="1:21">
      <c r="A19" t="s">
        <v>30</v>
      </c>
      <c r="B19" t="s">
        <v>51</v>
      </c>
      <c r="C19" t="s">
        <v>11</v>
      </c>
      <c r="D19" t="s">
        <v>6</v>
      </c>
      <c r="E19">
        <v>1158.94</v>
      </c>
      <c r="F19">
        <v>19</v>
      </c>
      <c r="G19">
        <v>0.2</v>
      </c>
      <c r="H19" s="1">
        <v>45553</v>
      </c>
      <c r="I19">
        <v>231.79</v>
      </c>
      <c r="J19" s="5">
        <f t="shared" si="0"/>
        <v>8490.18</v>
      </c>
      <c r="K19" t="str">
        <v>CUST018</v>
      </c>
      <c r="L19" t="str" cm="1">
        <f t="array" ref="L19">INDEX(B:B,MATCH(K19,A:A,0))</f>
        <v>Mary Jackson</v>
      </c>
      <c r="M19" cm="1">
        <f t="array" ref="M19">INDEX(J:J,MATCH(K19,A:A,0))</f>
        <v>4951.89</v>
      </c>
      <c r="O19" s="6" t="s">
        <v>54</v>
      </c>
      <c r="P19">
        <f t="shared" si="2"/>
        <v>1335.87</v>
      </c>
      <c r="R19" s="9">
        <v>1158.94</v>
      </c>
      <c r="S19" s="9">
        <v>0.2</v>
      </c>
      <c r="T19" s="9">
        <v>231.79</v>
      </c>
      <c r="U19">
        <f t="shared" si="1"/>
        <v>927.15</v>
      </c>
    </row>
    <row r="20" ht="14.4" spans="1:21">
      <c r="A20" t="s">
        <v>30</v>
      </c>
      <c r="B20" t="s">
        <v>51</v>
      </c>
      <c r="C20" t="s">
        <v>13</v>
      </c>
      <c r="D20" t="s">
        <v>5</v>
      </c>
      <c r="E20">
        <v>902.19</v>
      </c>
      <c r="F20">
        <v>12</v>
      </c>
      <c r="G20">
        <v>0</v>
      </c>
      <c r="H20" s="1">
        <v>45564</v>
      </c>
      <c r="I20">
        <v>451.1</v>
      </c>
      <c r="J20" s="5">
        <f t="shared" si="0"/>
        <v>8490.18</v>
      </c>
      <c r="K20" t="str">
        <v>CUST019</v>
      </c>
      <c r="L20" t="str" cm="1">
        <f t="array" ref="L20">INDEX(B:B,MATCH(K20,A:A,0))</f>
        <v>James Davis</v>
      </c>
      <c r="M20" cm="1">
        <f t="array" ref="M20">INDEX(J:J,MATCH(K20,A:A,0))</f>
        <v>4640.11</v>
      </c>
      <c r="O20" s="6" t="s">
        <v>55</v>
      </c>
      <c r="P20">
        <f t="shared" si="2"/>
        <v>1158.94</v>
      </c>
      <c r="R20" s="8">
        <v>902.19</v>
      </c>
      <c r="S20" s="8">
        <v>0</v>
      </c>
      <c r="T20" s="8">
        <v>451.1</v>
      </c>
      <c r="U20">
        <f t="shared" si="1"/>
        <v>451.09</v>
      </c>
    </row>
    <row r="21" ht="15.75" customHeight="1" spans="1:21">
      <c r="A21" t="s">
        <v>30</v>
      </c>
      <c r="B21" t="s">
        <v>56</v>
      </c>
      <c r="C21" t="s">
        <v>12</v>
      </c>
      <c r="D21" t="s">
        <v>5</v>
      </c>
      <c r="E21">
        <v>661.09</v>
      </c>
      <c r="F21">
        <v>1</v>
      </c>
      <c r="G21">
        <v>0.2</v>
      </c>
      <c r="H21" s="1">
        <v>45593</v>
      </c>
      <c r="I21">
        <v>264.44</v>
      </c>
      <c r="J21" s="5">
        <f t="shared" si="0"/>
        <v>8490.18</v>
      </c>
      <c r="K21" t="str">
        <v>CUST020</v>
      </c>
      <c r="L21" t="str" cm="1">
        <f t="array" ref="L21">INDEX(B:B,MATCH(K21,A:A,0))</f>
        <v>David Brown</v>
      </c>
      <c r="M21" cm="1">
        <f t="array" ref="M21">INDEX(J:J,MATCH(K21,A:A,0))</f>
        <v>4413.71</v>
      </c>
      <c r="O21" s="6" t="s">
        <v>57</v>
      </c>
      <c r="P21">
        <f t="shared" si="2"/>
        <v>902.19</v>
      </c>
      <c r="R21" s="9">
        <v>661.09</v>
      </c>
      <c r="S21" s="9">
        <v>0.2</v>
      </c>
      <c r="T21" s="9">
        <v>264.44</v>
      </c>
      <c r="U21">
        <f t="shared" si="1"/>
        <v>396.65</v>
      </c>
    </row>
    <row r="22" ht="15.75" customHeight="1" spans="1:21">
      <c r="A22" t="s">
        <v>30</v>
      </c>
      <c r="B22" t="s">
        <v>31</v>
      </c>
      <c r="C22" t="s">
        <v>14</v>
      </c>
      <c r="D22" t="s">
        <v>4</v>
      </c>
      <c r="E22">
        <v>704.28</v>
      </c>
      <c r="F22">
        <v>15</v>
      </c>
      <c r="G22">
        <v>0.2</v>
      </c>
      <c r="H22" s="1">
        <v>45712</v>
      </c>
      <c r="I22">
        <v>225.37</v>
      </c>
      <c r="J22" s="5">
        <f t="shared" si="0"/>
        <v>8490.18</v>
      </c>
      <c r="K22" t="str">
        <v>CUST021</v>
      </c>
      <c r="L22" t="str" cm="1">
        <f t="array" ref="L22">INDEX(B:B,MATCH(K22,A:A,0))</f>
        <v>Sarah Anderson</v>
      </c>
      <c r="M22" cm="1">
        <f t="array" ref="M22">INDEX(J:J,MATCH(K22,A:A,0))</f>
        <v>8740.18</v>
      </c>
      <c r="O22" s="6" t="s">
        <v>58</v>
      </c>
      <c r="P22">
        <f t="shared" si="2"/>
        <v>661.09</v>
      </c>
      <c r="R22" s="8">
        <v>704.28</v>
      </c>
      <c r="S22" s="8">
        <v>0.2</v>
      </c>
      <c r="T22" s="8">
        <v>225.37</v>
      </c>
      <c r="U22">
        <f t="shared" si="1"/>
        <v>478.91</v>
      </c>
    </row>
    <row r="23" ht="15.75" customHeight="1" spans="1:21">
      <c r="A23" t="s">
        <v>30</v>
      </c>
      <c r="B23" t="s">
        <v>47</v>
      </c>
      <c r="C23" t="s">
        <v>15</v>
      </c>
      <c r="D23" t="s">
        <v>8</v>
      </c>
      <c r="E23">
        <v>438.76</v>
      </c>
      <c r="F23">
        <v>18</v>
      </c>
      <c r="G23">
        <v>0.05</v>
      </c>
      <c r="H23" s="1">
        <v>45726</v>
      </c>
      <c r="I23">
        <v>187.57</v>
      </c>
      <c r="J23" s="5">
        <f t="shared" si="0"/>
        <v>8490.18</v>
      </c>
      <c r="K23" t="str">
        <v>CUST022</v>
      </c>
      <c r="L23" t="str" cm="1">
        <f t="array" ref="L23">INDEX(B:B,MATCH(K23,A:A,0))</f>
        <v>Robert Anderson</v>
      </c>
      <c r="M23" cm="1">
        <f t="array" ref="M23">INDEX(J:J,MATCH(K23,A:A,0))</f>
        <v>4418.28</v>
      </c>
      <c r="O23" s="6" t="s">
        <v>59</v>
      </c>
      <c r="P23">
        <f t="shared" si="2"/>
        <v>704.28</v>
      </c>
      <c r="R23" s="9">
        <v>438.76</v>
      </c>
      <c r="S23" s="9">
        <v>0.05</v>
      </c>
      <c r="T23" s="9">
        <v>187.57</v>
      </c>
      <c r="U23">
        <f t="shared" si="1"/>
        <v>251.19</v>
      </c>
    </row>
    <row r="24" ht="15.75" customHeight="1" spans="1:21">
      <c r="A24" t="s">
        <v>32</v>
      </c>
      <c r="B24" t="s">
        <v>27</v>
      </c>
      <c r="C24" t="s">
        <v>12</v>
      </c>
      <c r="D24" t="s">
        <v>7</v>
      </c>
      <c r="E24">
        <v>518.07</v>
      </c>
      <c r="F24">
        <v>7</v>
      </c>
      <c r="G24">
        <v>0.05</v>
      </c>
      <c r="H24" s="1">
        <v>45522</v>
      </c>
      <c r="I24">
        <v>172.26</v>
      </c>
      <c r="J24" s="5">
        <f t="shared" si="0"/>
        <v>7813.59</v>
      </c>
      <c r="K24" t="str">
        <v>CUST023</v>
      </c>
      <c r="L24" t="str" cm="1">
        <f t="array" ref="L24">INDEX(B:B,MATCH(K24,A:A,0))</f>
        <v>Robert Anderson</v>
      </c>
      <c r="M24" cm="1">
        <f t="array" ref="M24">INDEX(J:J,MATCH(K24,A:A,0))</f>
        <v>5913.68</v>
      </c>
      <c r="O24" s="6" t="s">
        <v>60</v>
      </c>
      <c r="P24">
        <f t="shared" si="2"/>
        <v>438.76</v>
      </c>
      <c r="R24" s="8">
        <v>518.07</v>
      </c>
      <c r="S24" s="8">
        <v>0.05</v>
      </c>
      <c r="T24" s="8">
        <v>172.26</v>
      </c>
      <c r="U24">
        <f t="shared" si="1"/>
        <v>345.81</v>
      </c>
    </row>
    <row r="25" ht="15.75" customHeight="1" spans="1:21">
      <c r="A25" t="s">
        <v>32</v>
      </c>
      <c r="B25" t="s">
        <v>61</v>
      </c>
      <c r="C25" t="s">
        <v>11</v>
      </c>
      <c r="D25" t="s">
        <v>8</v>
      </c>
      <c r="E25">
        <v>1443.98</v>
      </c>
      <c r="F25">
        <v>19</v>
      </c>
      <c r="G25">
        <v>0</v>
      </c>
      <c r="H25" s="1">
        <v>45547</v>
      </c>
      <c r="I25">
        <v>649.79</v>
      </c>
      <c r="J25" s="5">
        <f t="shared" si="0"/>
        <v>7813.59</v>
      </c>
      <c r="K25" t="str">
        <v>CUST024</v>
      </c>
      <c r="L25" t="str" cm="1">
        <f t="array" ref="L25">INDEX(B:B,MATCH(K25,A:A,0))</f>
        <v>David Brown</v>
      </c>
      <c r="M25" cm="1">
        <f t="array" ref="M25">INDEX(J:J,MATCH(K25,A:A,0))</f>
        <v>7583.13</v>
      </c>
      <c r="O25" s="6" t="s">
        <v>62</v>
      </c>
      <c r="P25">
        <f t="shared" si="2"/>
        <v>518.07</v>
      </c>
      <c r="R25" s="9">
        <v>1443.98</v>
      </c>
      <c r="S25" s="9">
        <v>0</v>
      </c>
      <c r="T25" s="9">
        <v>649.79</v>
      </c>
      <c r="U25">
        <f t="shared" si="1"/>
        <v>794.19</v>
      </c>
    </row>
    <row r="26" ht="15.75" customHeight="1" spans="1:21">
      <c r="A26" t="s">
        <v>32</v>
      </c>
      <c r="B26" t="s">
        <v>63</v>
      </c>
      <c r="C26" t="s">
        <v>13</v>
      </c>
      <c r="D26" t="s">
        <v>5</v>
      </c>
      <c r="E26">
        <v>1277.85</v>
      </c>
      <c r="F26">
        <v>18</v>
      </c>
      <c r="G26">
        <v>0.2</v>
      </c>
      <c r="H26" s="1">
        <v>45613</v>
      </c>
      <c r="I26">
        <v>511.14</v>
      </c>
      <c r="J26" s="5">
        <f t="shared" si="0"/>
        <v>7813.59</v>
      </c>
      <c r="K26" t="str">
        <v>CUST025</v>
      </c>
      <c r="L26" t="str" cm="1">
        <f t="array" ref="L26">INDEX(B:B,MATCH(K26,A:A,0))</f>
        <v>David Brown</v>
      </c>
      <c r="M26" cm="1">
        <f t="array" ref="M26">INDEX(J:J,MATCH(K26,A:A,0))</f>
        <v>6716.52</v>
      </c>
      <c r="O26" s="6" t="s">
        <v>64</v>
      </c>
      <c r="P26">
        <f t="shared" si="2"/>
        <v>1443.98</v>
      </c>
      <c r="R26" s="8">
        <v>1277.85</v>
      </c>
      <c r="S26" s="8">
        <v>0.2</v>
      </c>
      <c r="T26" s="8">
        <v>511.14</v>
      </c>
      <c r="U26">
        <f t="shared" si="1"/>
        <v>766.71</v>
      </c>
    </row>
    <row r="27" ht="15.75" customHeight="1" spans="1:21">
      <c r="A27" t="s">
        <v>32</v>
      </c>
      <c r="B27" t="s">
        <v>39</v>
      </c>
      <c r="C27" t="s">
        <v>12</v>
      </c>
      <c r="D27" t="s">
        <v>5</v>
      </c>
      <c r="E27">
        <v>1589.42</v>
      </c>
      <c r="F27">
        <v>6</v>
      </c>
      <c r="G27">
        <v>0.15</v>
      </c>
      <c r="H27" s="1">
        <v>45651</v>
      </c>
      <c r="I27">
        <v>675.5</v>
      </c>
      <c r="J27" s="5">
        <f t="shared" si="0"/>
        <v>7813.59</v>
      </c>
      <c r="K27" t="str">
        <v>CUST026</v>
      </c>
      <c r="L27" t="str" cm="1">
        <f t="array" ref="L27">INDEX(B:B,MATCH(K27,A:A,0))</f>
        <v>Mary Davis</v>
      </c>
      <c r="M27" cm="1">
        <f t="array" ref="M27">INDEX(J:J,MATCH(K27,A:A,0))</f>
        <v>9371.81</v>
      </c>
      <c r="O27" s="6" t="s">
        <v>65</v>
      </c>
      <c r="P27">
        <f t="shared" si="2"/>
        <v>1277.85</v>
      </c>
      <c r="R27" s="9">
        <v>1589.42</v>
      </c>
      <c r="S27" s="9">
        <v>0.15</v>
      </c>
      <c r="T27" s="9">
        <v>675.5</v>
      </c>
      <c r="U27">
        <f t="shared" si="1"/>
        <v>913.92</v>
      </c>
    </row>
    <row r="28" ht="15.75" customHeight="1" spans="1:21">
      <c r="A28" t="s">
        <v>32</v>
      </c>
      <c r="B28" t="s">
        <v>49</v>
      </c>
      <c r="C28" t="s">
        <v>15</v>
      </c>
      <c r="D28" t="s">
        <v>8</v>
      </c>
      <c r="E28">
        <v>1311.26</v>
      </c>
      <c r="F28">
        <v>6</v>
      </c>
      <c r="G28">
        <v>0.1</v>
      </c>
      <c r="H28" s="1">
        <v>45698</v>
      </c>
      <c r="I28">
        <v>531.06</v>
      </c>
      <c r="J28" s="5">
        <f t="shared" si="0"/>
        <v>7813.59</v>
      </c>
      <c r="K28" t="str">
        <v>CUST027</v>
      </c>
      <c r="L28" t="str" cm="1">
        <f t="array" ref="L28">INDEX(B:B,MATCH(K28,A:A,0))</f>
        <v>Emma Davis</v>
      </c>
      <c r="M28" cm="1">
        <f t="array" ref="M28">INDEX(J:J,MATCH(K28,A:A,0))</f>
        <v>3906.04</v>
      </c>
      <c r="O28" s="6" t="s">
        <v>66</v>
      </c>
      <c r="P28">
        <f t="shared" si="2"/>
        <v>1589.42</v>
      </c>
      <c r="R28" s="8">
        <v>1311.26</v>
      </c>
      <c r="S28" s="8">
        <v>0.1</v>
      </c>
      <c r="T28" s="8">
        <v>531.06</v>
      </c>
      <c r="U28">
        <f t="shared" si="1"/>
        <v>780.2</v>
      </c>
    </row>
    <row r="29" ht="15.75" customHeight="1" spans="1:21">
      <c r="A29" t="s">
        <v>32</v>
      </c>
      <c r="B29" t="s">
        <v>39</v>
      </c>
      <c r="C29" t="s">
        <v>14</v>
      </c>
      <c r="D29" t="s">
        <v>8</v>
      </c>
      <c r="E29">
        <v>573.32</v>
      </c>
      <c r="F29">
        <v>19</v>
      </c>
      <c r="G29">
        <v>0.1</v>
      </c>
      <c r="H29" s="1">
        <v>45703</v>
      </c>
      <c r="I29">
        <v>232.19</v>
      </c>
      <c r="J29" s="5">
        <f t="shared" si="0"/>
        <v>7813.59</v>
      </c>
      <c r="K29" t="str">
        <v>CUST028</v>
      </c>
      <c r="L29" t="str" cm="1">
        <f t="array" ref="L29">INDEX(B:B,MATCH(K29,A:A,0))</f>
        <v>Linda Taylor</v>
      </c>
      <c r="M29" cm="1">
        <f t="array" ref="M29">INDEX(J:J,MATCH(K29,A:A,0))</f>
        <v>10293.87</v>
      </c>
      <c r="O29" s="6" t="s">
        <v>67</v>
      </c>
      <c r="P29">
        <f t="shared" si="2"/>
        <v>1311.26</v>
      </c>
      <c r="R29" s="9">
        <v>573.32</v>
      </c>
      <c r="S29" s="9">
        <v>0.1</v>
      </c>
      <c r="T29" s="9">
        <v>232.19</v>
      </c>
      <c r="U29">
        <f t="shared" si="1"/>
        <v>341.13</v>
      </c>
    </row>
    <row r="30" ht="15.75" customHeight="1" spans="1:21">
      <c r="A30" t="s">
        <v>32</v>
      </c>
      <c r="B30" t="s">
        <v>26</v>
      </c>
      <c r="C30" t="s">
        <v>15</v>
      </c>
      <c r="D30" t="s">
        <v>4</v>
      </c>
      <c r="E30">
        <v>1099.69</v>
      </c>
      <c r="F30">
        <v>6</v>
      </c>
      <c r="G30">
        <v>0</v>
      </c>
      <c r="H30" s="1">
        <v>45718</v>
      </c>
      <c r="I30">
        <v>439.88</v>
      </c>
      <c r="J30" s="5">
        <f t="shared" si="0"/>
        <v>7813.59</v>
      </c>
      <c r="K30" t="str">
        <v>CUST029</v>
      </c>
      <c r="L30" t="str" cm="1">
        <f t="array" ref="L30">INDEX(B:B,MATCH(K30,A:A,0))</f>
        <v>David Smith</v>
      </c>
      <c r="M30" cm="1">
        <f t="array" ref="M30">INDEX(J:J,MATCH(K30,A:A,0))</f>
        <v>5779.05</v>
      </c>
      <c r="O30" s="6" t="s">
        <v>68</v>
      </c>
      <c r="P30">
        <f t="shared" si="2"/>
        <v>573.32</v>
      </c>
      <c r="R30" s="8">
        <v>1099.69</v>
      </c>
      <c r="S30" s="8">
        <v>0</v>
      </c>
      <c r="T30" s="8">
        <v>439.88</v>
      </c>
      <c r="U30">
        <f t="shared" si="1"/>
        <v>659.81</v>
      </c>
    </row>
    <row r="31" ht="15.75" customHeight="1" spans="1:21">
      <c r="A31" t="s">
        <v>34</v>
      </c>
      <c r="B31" t="s">
        <v>69</v>
      </c>
      <c r="C31" t="s">
        <v>14</v>
      </c>
      <c r="D31" t="s">
        <v>6</v>
      </c>
      <c r="E31">
        <v>760.93</v>
      </c>
      <c r="F31">
        <v>4</v>
      </c>
      <c r="G31">
        <v>0.15</v>
      </c>
      <c r="H31" s="1">
        <v>45396</v>
      </c>
      <c r="I31">
        <v>161.7</v>
      </c>
      <c r="J31" s="5">
        <f t="shared" si="0"/>
        <v>6666.13</v>
      </c>
      <c r="K31" t="str">
        <v>CUST030</v>
      </c>
      <c r="L31" t="str" cm="1">
        <f t="array" ref="L31">INDEX(B:B,MATCH(K31,A:A,0))</f>
        <v>James Wilson</v>
      </c>
      <c r="M31" cm="1">
        <f t="array" ref="M31">INDEX(J:J,MATCH(K31,A:A,0))</f>
        <v>7928.71</v>
      </c>
      <c r="O31" s="6" t="s">
        <v>70</v>
      </c>
      <c r="P31">
        <f t="shared" si="2"/>
        <v>1099.69</v>
      </c>
      <c r="R31" s="9">
        <v>760.93</v>
      </c>
      <c r="S31" s="9">
        <v>0.15</v>
      </c>
      <c r="T31" s="9">
        <v>161.7</v>
      </c>
      <c r="U31">
        <f t="shared" si="1"/>
        <v>599.23</v>
      </c>
    </row>
    <row r="32" ht="15.75" customHeight="1" spans="1:21">
      <c r="A32" t="s">
        <v>34</v>
      </c>
      <c r="B32" t="s">
        <v>31</v>
      </c>
      <c r="C32" t="s">
        <v>14</v>
      </c>
      <c r="D32" t="s">
        <v>6</v>
      </c>
      <c r="E32">
        <v>1502.93</v>
      </c>
      <c r="F32">
        <v>14</v>
      </c>
      <c r="G32">
        <v>0.2</v>
      </c>
      <c r="H32" s="1">
        <v>45410</v>
      </c>
      <c r="I32">
        <v>300.59</v>
      </c>
      <c r="J32" s="5">
        <f t="shared" si="0"/>
        <v>6666.13</v>
      </c>
      <c r="O32" s="6" t="s">
        <v>71</v>
      </c>
      <c r="P32">
        <f t="shared" si="2"/>
        <v>760.93</v>
      </c>
      <c r="R32" s="8">
        <v>1502.93</v>
      </c>
      <c r="S32" s="8">
        <v>0.2</v>
      </c>
      <c r="T32" s="8">
        <v>300.59</v>
      </c>
      <c r="U32">
        <f t="shared" si="1"/>
        <v>1202.34</v>
      </c>
    </row>
    <row r="33" ht="15.75" customHeight="1" spans="1:21">
      <c r="A33" t="s">
        <v>34</v>
      </c>
      <c r="B33" t="s">
        <v>72</v>
      </c>
      <c r="C33" t="s">
        <v>14</v>
      </c>
      <c r="D33" t="s">
        <v>4</v>
      </c>
      <c r="E33">
        <v>1151.21</v>
      </c>
      <c r="F33">
        <v>15</v>
      </c>
      <c r="G33">
        <v>0.1</v>
      </c>
      <c r="H33" s="1">
        <v>45445</v>
      </c>
      <c r="I33">
        <v>414.44</v>
      </c>
      <c r="J33" s="5">
        <f t="shared" si="0"/>
        <v>6666.13</v>
      </c>
      <c r="R33" s="9">
        <v>1151.21</v>
      </c>
      <c r="S33" s="9">
        <v>0.1</v>
      </c>
      <c r="T33" s="9">
        <v>414.44</v>
      </c>
      <c r="U33">
        <f t="shared" si="1"/>
        <v>736.77</v>
      </c>
    </row>
    <row r="34" ht="15.75" customHeight="1" spans="1:21">
      <c r="A34" t="s">
        <v>34</v>
      </c>
      <c r="B34" t="s">
        <v>69</v>
      </c>
      <c r="C34" t="s">
        <v>14</v>
      </c>
      <c r="D34" t="s">
        <v>7</v>
      </c>
      <c r="E34">
        <v>919.04</v>
      </c>
      <c r="F34">
        <v>10</v>
      </c>
      <c r="G34">
        <v>0.2</v>
      </c>
      <c r="H34" s="1">
        <v>45468</v>
      </c>
      <c r="I34">
        <v>257.33</v>
      </c>
      <c r="J34" s="5">
        <f t="shared" ref="J34:J65" si="3">SUMIF($A$2:$A$201,A34,$E$2:$E$201)</f>
        <v>6666.13</v>
      </c>
      <c r="R34" s="8">
        <v>919.04</v>
      </c>
      <c r="S34" s="8">
        <v>0.2</v>
      </c>
      <c r="T34" s="8">
        <v>257.33</v>
      </c>
      <c r="U34">
        <f t="shared" si="1"/>
        <v>661.71</v>
      </c>
    </row>
    <row r="35" ht="15.75" customHeight="1" spans="1:21">
      <c r="A35" t="s">
        <v>34</v>
      </c>
      <c r="B35" t="s">
        <v>73</v>
      </c>
      <c r="C35" t="s">
        <v>13</v>
      </c>
      <c r="D35" t="s">
        <v>7</v>
      </c>
      <c r="E35">
        <v>1261.34</v>
      </c>
      <c r="F35">
        <v>3</v>
      </c>
      <c r="G35">
        <v>0</v>
      </c>
      <c r="H35" s="1">
        <v>45519</v>
      </c>
      <c r="I35">
        <v>441.47</v>
      </c>
      <c r="J35" s="5">
        <f t="shared" si="3"/>
        <v>6666.13</v>
      </c>
      <c r="R35" s="9">
        <v>1261.34</v>
      </c>
      <c r="S35" s="9">
        <v>0</v>
      </c>
      <c r="T35" s="9">
        <v>441.47</v>
      </c>
      <c r="U35">
        <f t="shared" ref="U35:U66" si="4">R35-T35</f>
        <v>819.87</v>
      </c>
    </row>
    <row r="36" ht="15.75" customHeight="1" spans="1:21">
      <c r="A36" t="s">
        <v>34</v>
      </c>
      <c r="B36" t="s">
        <v>37</v>
      </c>
      <c r="C36" t="s">
        <v>13</v>
      </c>
      <c r="D36" t="s">
        <v>4</v>
      </c>
      <c r="E36">
        <v>1070.68</v>
      </c>
      <c r="F36">
        <v>7</v>
      </c>
      <c r="G36">
        <v>0.05</v>
      </c>
      <c r="H36" s="1">
        <v>45536</v>
      </c>
      <c r="I36">
        <v>406.86</v>
      </c>
      <c r="J36" s="5">
        <f t="shared" si="3"/>
        <v>6666.13</v>
      </c>
      <c r="R36" s="8">
        <v>1070.68</v>
      </c>
      <c r="S36" s="8">
        <v>0.05</v>
      </c>
      <c r="T36" s="8">
        <v>406.86</v>
      </c>
      <c r="U36">
        <f t="shared" si="4"/>
        <v>663.82</v>
      </c>
    </row>
    <row r="37" ht="15.75" customHeight="1" spans="1:21">
      <c r="A37" t="s">
        <v>36</v>
      </c>
      <c r="B37" t="s">
        <v>28</v>
      </c>
      <c r="C37" t="s">
        <v>11</v>
      </c>
      <c r="D37" t="s">
        <v>4</v>
      </c>
      <c r="E37">
        <v>1506.14</v>
      </c>
      <c r="F37">
        <v>13</v>
      </c>
      <c r="G37">
        <v>0.2</v>
      </c>
      <c r="H37" s="1">
        <v>45412</v>
      </c>
      <c r="I37">
        <v>481.96</v>
      </c>
      <c r="J37" s="5">
        <f t="shared" si="3"/>
        <v>2699.75</v>
      </c>
      <c r="R37" s="9">
        <v>1506.14</v>
      </c>
      <c r="S37" s="9">
        <v>0.2</v>
      </c>
      <c r="T37" s="9">
        <v>481.96</v>
      </c>
      <c r="U37">
        <f t="shared" si="4"/>
        <v>1024.18</v>
      </c>
    </row>
    <row r="38" ht="15.75" customHeight="1" spans="1:21">
      <c r="A38" t="s">
        <v>36</v>
      </c>
      <c r="B38" t="s">
        <v>35</v>
      </c>
      <c r="C38" t="s">
        <v>11</v>
      </c>
      <c r="D38" t="s">
        <v>7</v>
      </c>
      <c r="E38">
        <v>1193.61</v>
      </c>
      <c r="F38">
        <v>1</v>
      </c>
      <c r="G38">
        <v>0.15</v>
      </c>
      <c r="H38" s="1">
        <v>45584</v>
      </c>
      <c r="I38">
        <v>355.1</v>
      </c>
      <c r="J38" s="5">
        <f t="shared" si="3"/>
        <v>2699.75</v>
      </c>
      <c r="O38" cm="1">
        <f t="array" ref="O38:O67">_xlfn._xlws.SORT(M2:M31,1,-1,FALSE)</f>
        <v>11611.06</v>
      </c>
      <c r="R38" s="8">
        <v>1193.61</v>
      </c>
      <c r="S38" s="8">
        <v>0.15</v>
      </c>
      <c r="T38" s="8">
        <v>355.1</v>
      </c>
      <c r="U38">
        <f t="shared" si="4"/>
        <v>838.51</v>
      </c>
    </row>
    <row r="39" ht="15.75" customHeight="1" spans="1:21">
      <c r="A39" t="s">
        <v>38</v>
      </c>
      <c r="B39" t="s">
        <v>33</v>
      </c>
      <c r="C39" t="s">
        <v>12</v>
      </c>
      <c r="D39" t="s">
        <v>7</v>
      </c>
      <c r="E39">
        <v>965.64</v>
      </c>
      <c r="F39">
        <v>8</v>
      </c>
      <c r="G39">
        <v>0.1</v>
      </c>
      <c r="H39" s="1">
        <v>45398</v>
      </c>
      <c r="I39">
        <v>304.18</v>
      </c>
      <c r="J39" s="5">
        <f t="shared" si="3"/>
        <v>9941.88</v>
      </c>
      <c r="O39">
        <v>10293.87</v>
      </c>
      <c r="R39" s="9">
        <v>965.64</v>
      </c>
      <c r="S39" s="9">
        <v>0.1</v>
      </c>
      <c r="T39" s="9">
        <v>304.18</v>
      </c>
      <c r="U39">
        <f t="shared" si="4"/>
        <v>661.46</v>
      </c>
    </row>
    <row r="40" ht="15.75" customHeight="1" spans="1:21">
      <c r="A40" t="s">
        <v>38</v>
      </c>
      <c r="B40" t="s">
        <v>33</v>
      </c>
      <c r="C40" t="s">
        <v>13</v>
      </c>
      <c r="D40" t="s">
        <v>4</v>
      </c>
      <c r="E40">
        <v>1191.58</v>
      </c>
      <c r="F40">
        <v>14</v>
      </c>
      <c r="G40">
        <v>0.05</v>
      </c>
      <c r="H40" s="1">
        <v>45406</v>
      </c>
      <c r="I40">
        <v>452.8</v>
      </c>
      <c r="J40" s="5">
        <f t="shared" si="3"/>
        <v>9941.88</v>
      </c>
      <c r="O40">
        <v>9941.88</v>
      </c>
      <c r="R40" s="8">
        <v>1191.58</v>
      </c>
      <c r="S40" s="8">
        <v>0.05</v>
      </c>
      <c r="T40" s="8">
        <v>452.8</v>
      </c>
      <c r="U40">
        <f t="shared" si="4"/>
        <v>738.78</v>
      </c>
    </row>
    <row r="41" ht="15.75" customHeight="1" spans="1:21">
      <c r="A41" t="s">
        <v>38</v>
      </c>
      <c r="B41" t="s">
        <v>37</v>
      </c>
      <c r="C41" t="s">
        <v>14</v>
      </c>
      <c r="D41" t="s">
        <v>5</v>
      </c>
      <c r="E41">
        <v>953.3</v>
      </c>
      <c r="F41">
        <v>11</v>
      </c>
      <c r="G41">
        <v>0</v>
      </c>
      <c r="H41" s="1">
        <v>45415</v>
      </c>
      <c r="I41">
        <v>476.65</v>
      </c>
      <c r="J41" s="5">
        <f t="shared" si="3"/>
        <v>9941.88</v>
      </c>
      <c r="O41">
        <v>9760.8</v>
      </c>
      <c r="R41" s="9">
        <v>953.3</v>
      </c>
      <c r="S41" s="9">
        <v>0</v>
      </c>
      <c r="T41" s="9">
        <v>476.65</v>
      </c>
      <c r="U41">
        <f t="shared" si="4"/>
        <v>476.65</v>
      </c>
    </row>
    <row r="42" ht="15.75" customHeight="1" spans="1:21">
      <c r="A42" t="s">
        <v>38</v>
      </c>
      <c r="B42" t="s">
        <v>69</v>
      </c>
      <c r="C42" t="s">
        <v>13</v>
      </c>
      <c r="D42" t="s">
        <v>4</v>
      </c>
      <c r="E42">
        <v>939.09</v>
      </c>
      <c r="F42">
        <v>2</v>
      </c>
      <c r="G42">
        <v>0.05</v>
      </c>
      <c r="H42" s="1">
        <v>45422</v>
      </c>
      <c r="I42">
        <v>356.85</v>
      </c>
      <c r="J42" s="5">
        <f t="shared" si="3"/>
        <v>9941.88</v>
      </c>
      <c r="O42">
        <v>9371.81</v>
      </c>
      <c r="R42" s="8">
        <v>939.09</v>
      </c>
      <c r="S42" s="8">
        <v>0.05</v>
      </c>
      <c r="T42" s="8">
        <v>356.85</v>
      </c>
      <c r="U42">
        <f t="shared" si="4"/>
        <v>582.24</v>
      </c>
    </row>
    <row r="43" ht="15.75" customHeight="1" spans="1:21">
      <c r="A43" t="s">
        <v>38</v>
      </c>
      <c r="B43" t="s">
        <v>74</v>
      </c>
      <c r="C43" t="s">
        <v>14</v>
      </c>
      <c r="D43" t="s">
        <v>6</v>
      </c>
      <c r="E43">
        <v>1021.47</v>
      </c>
      <c r="F43">
        <v>6</v>
      </c>
      <c r="G43">
        <v>0.05</v>
      </c>
      <c r="H43" s="1">
        <v>45461</v>
      </c>
      <c r="I43">
        <v>242.6</v>
      </c>
      <c r="J43" s="5">
        <f t="shared" si="3"/>
        <v>9941.88</v>
      </c>
      <c r="O43">
        <v>8740.18</v>
      </c>
      <c r="R43" s="9">
        <v>1021.47</v>
      </c>
      <c r="S43" s="9">
        <v>0.05</v>
      </c>
      <c r="T43" s="9">
        <v>242.6</v>
      </c>
      <c r="U43">
        <f t="shared" si="4"/>
        <v>778.87</v>
      </c>
    </row>
    <row r="44" ht="15.75" customHeight="1" spans="1:21">
      <c r="A44" t="s">
        <v>38</v>
      </c>
      <c r="B44" t="s">
        <v>75</v>
      </c>
      <c r="C44" t="s">
        <v>12</v>
      </c>
      <c r="D44" t="s">
        <v>4</v>
      </c>
      <c r="E44">
        <v>679.71</v>
      </c>
      <c r="F44">
        <v>19</v>
      </c>
      <c r="G44">
        <v>0</v>
      </c>
      <c r="H44" s="1">
        <v>45534</v>
      </c>
      <c r="I44">
        <v>271.88</v>
      </c>
      <c r="J44" s="5">
        <f t="shared" si="3"/>
        <v>9941.88</v>
      </c>
      <c r="O44">
        <v>8490.18</v>
      </c>
      <c r="R44" s="8">
        <v>679.71</v>
      </c>
      <c r="S44" s="8">
        <v>0</v>
      </c>
      <c r="T44" s="8">
        <v>271.88</v>
      </c>
      <c r="U44">
        <f t="shared" si="4"/>
        <v>407.83</v>
      </c>
    </row>
    <row r="45" ht="15.75" customHeight="1" spans="1:21">
      <c r="A45" t="s">
        <v>38</v>
      </c>
      <c r="B45" t="s">
        <v>76</v>
      </c>
      <c r="C45" t="s">
        <v>11</v>
      </c>
      <c r="D45" t="s">
        <v>7</v>
      </c>
      <c r="E45">
        <v>1101.55</v>
      </c>
      <c r="F45">
        <v>4</v>
      </c>
      <c r="G45">
        <v>0.1</v>
      </c>
      <c r="H45" s="1">
        <v>45551</v>
      </c>
      <c r="I45">
        <v>346.99</v>
      </c>
      <c r="J45" s="5">
        <f t="shared" si="3"/>
        <v>9941.88</v>
      </c>
      <c r="O45">
        <v>8339</v>
      </c>
      <c r="R45" s="9">
        <v>1101.55</v>
      </c>
      <c r="S45" s="9">
        <v>0.1</v>
      </c>
      <c r="T45" s="9">
        <v>346.99</v>
      </c>
      <c r="U45">
        <f t="shared" si="4"/>
        <v>754.56</v>
      </c>
    </row>
    <row r="46" ht="15.75" customHeight="1" spans="1:21">
      <c r="A46" t="s">
        <v>38</v>
      </c>
      <c r="B46" t="s">
        <v>47</v>
      </c>
      <c r="C46" t="s">
        <v>12</v>
      </c>
      <c r="D46" t="s">
        <v>8</v>
      </c>
      <c r="E46">
        <v>833.91</v>
      </c>
      <c r="F46">
        <v>3</v>
      </c>
      <c r="G46">
        <v>0.05</v>
      </c>
      <c r="H46" s="1">
        <v>45626</v>
      </c>
      <c r="I46">
        <v>356.5</v>
      </c>
      <c r="J46" s="5">
        <f t="shared" si="3"/>
        <v>9941.88</v>
      </c>
      <c r="O46">
        <v>7928.71</v>
      </c>
      <c r="R46" s="8">
        <v>833.91</v>
      </c>
      <c r="S46" s="8">
        <v>0.05</v>
      </c>
      <c r="T46" s="8">
        <v>356.5</v>
      </c>
      <c r="U46">
        <f t="shared" si="4"/>
        <v>477.41</v>
      </c>
    </row>
    <row r="47" ht="15.75" customHeight="1" spans="1:21">
      <c r="A47" t="s">
        <v>38</v>
      </c>
      <c r="B47" t="s">
        <v>75</v>
      </c>
      <c r="C47" t="s">
        <v>11</v>
      </c>
      <c r="D47" t="s">
        <v>5</v>
      </c>
      <c r="E47">
        <v>1493.49</v>
      </c>
      <c r="F47">
        <v>18</v>
      </c>
      <c r="G47">
        <v>0</v>
      </c>
      <c r="H47" s="1">
        <v>45734</v>
      </c>
      <c r="I47">
        <v>746.74</v>
      </c>
      <c r="J47" s="5">
        <f t="shared" si="3"/>
        <v>9941.88</v>
      </c>
      <c r="O47">
        <v>7813.59</v>
      </c>
      <c r="R47" s="9">
        <v>1493.49</v>
      </c>
      <c r="S47" s="9">
        <v>0</v>
      </c>
      <c r="T47" s="9">
        <v>746.74</v>
      </c>
      <c r="U47">
        <f t="shared" si="4"/>
        <v>746.75</v>
      </c>
    </row>
    <row r="48" ht="15.75" customHeight="1" spans="1:21">
      <c r="A48" t="s">
        <v>38</v>
      </c>
      <c r="B48" t="s">
        <v>49</v>
      </c>
      <c r="C48" t="s">
        <v>14</v>
      </c>
      <c r="D48" t="s">
        <v>5</v>
      </c>
      <c r="E48">
        <v>762.14</v>
      </c>
      <c r="F48">
        <v>9</v>
      </c>
      <c r="G48">
        <v>0</v>
      </c>
      <c r="H48" s="1">
        <v>45743</v>
      </c>
      <c r="I48">
        <v>381.07</v>
      </c>
      <c r="J48" s="5">
        <f t="shared" si="3"/>
        <v>9941.88</v>
      </c>
      <c r="O48">
        <v>7583.13</v>
      </c>
      <c r="R48" s="8">
        <v>762.14</v>
      </c>
      <c r="S48" s="8">
        <v>0</v>
      </c>
      <c r="T48" s="8">
        <v>381.07</v>
      </c>
      <c r="U48">
        <f t="shared" si="4"/>
        <v>381.07</v>
      </c>
    </row>
    <row r="49" ht="15.75" customHeight="1" spans="1:21">
      <c r="A49" t="s">
        <v>40</v>
      </c>
      <c r="B49" t="s">
        <v>69</v>
      </c>
      <c r="C49" t="s">
        <v>14</v>
      </c>
      <c r="D49" t="s">
        <v>4</v>
      </c>
      <c r="E49">
        <v>877.58</v>
      </c>
      <c r="F49">
        <v>10</v>
      </c>
      <c r="G49">
        <v>0.15</v>
      </c>
      <c r="H49" s="1">
        <v>45411</v>
      </c>
      <c r="I49">
        <v>298.38</v>
      </c>
      <c r="J49" s="5">
        <f t="shared" si="3"/>
        <v>9760.8</v>
      </c>
      <c r="O49">
        <v>6729.89</v>
      </c>
      <c r="R49" s="9">
        <v>877.58</v>
      </c>
      <c r="S49" s="9">
        <v>0.15</v>
      </c>
      <c r="T49" s="9">
        <v>298.38</v>
      </c>
      <c r="U49">
        <f t="shared" si="4"/>
        <v>579.2</v>
      </c>
    </row>
    <row r="50" ht="15.75" customHeight="1" spans="1:21">
      <c r="A50" t="s">
        <v>40</v>
      </c>
      <c r="B50" t="s">
        <v>77</v>
      </c>
      <c r="C50" t="s">
        <v>13</v>
      </c>
      <c r="D50" t="s">
        <v>7</v>
      </c>
      <c r="E50">
        <v>773.09</v>
      </c>
      <c r="F50">
        <v>13</v>
      </c>
      <c r="G50">
        <v>0.15</v>
      </c>
      <c r="H50" s="1">
        <v>45434</v>
      </c>
      <c r="I50">
        <v>229.99</v>
      </c>
      <c r="J50" s="5">
        <f t="shared" si="3"/>
        <v>9760.8</v>
      </c>
      <c r="O50">
        <v>6716.52</v>
      </c>
      <c r="R50" s="8">
        <v>773.09</v>
      </c>
      <c r="S50" s="8">
        <v>0.15</v>
      </c>
      <c r="T50" s="8">
        <v>229.99</v>
      </c>
      <c r="U50">
        <f t="shared" si="4"/>
        <v>543.1</v>
      </c>
    </row>
    <row r="51" ht="15.75" customHeight="1" spans="1:21">
      <c r="A51" t="s">
        <v>40</v>
      </c>
      <c r="B51" t="s">
        <v>78</v>
      </c>
      <c r="C51" t="s">
        <v>14</v>
      </c>
      <c r="D51" t="s">
        <v>6</v>
      </c>
      <c r="E51">
        <v>775.45</v>
      </c>
      <c r="F51">
        <v>6</v>
      </c>
      <c r="G51">
        <v>0.1</v>
      </c>
      <c r="H51" s="1">
        <v>45457</v>
      </c>
      <c r="I51">
        <v>174.48</v>
      </c>
      <c r="J51" s="5">
        <f t="shared" si="3"/>
        <v>9760.8</v>
      </c>
      <c r="O51">
        <v>6666.13</v>
      </c>
      <c r="R51" s="9">
        <v>775.45</v>
      </c>
      <c r="S51" s="9">
        <v>0.1</v>
      </c>
      <c r="T51" s="9">
        <v>174.48</v>
      </c>
      <c r="U51">
        <f t="shared" si="4"/>
        <v>600.97</v>
      </c>
    </row>
    <row r="52" ht="15.75" customHeight="1" spans="1:21">
      <c r="A52" t="s">
        <v>40</v>
      </c>
      <c r="B52" t="s">
        <v>49</v>
      </c>
      <c r="C52" t="s">
        <v>13</v>
      </c>
      <c r="D52" t="s">
        <v>8</v>
      </c>
      <c r="E52">
        <v>804.81</v>
      </c>
      <c r="F52">
        <v>1</v>
      </c>
      <c r="G52">
        <v>0.05</v>
      </c>
      <c r="H52" s="1">
        <v>45502</v>
      </c>
      <c r="I52">
        <v>344.06</v>
      </c>
      <c r="J52" s="5">
        <f t="shared" si="3"/>
        <v>9760.8</v>
      </c>
      <c r="O52">
        <v>6549.55</v>
      </c>
      <c r="R52" s="8">
        <v>804.81</v>
      </c>
      <c r="S52" s="8">
        <v>0.05</v>
      </c>
      <c r="T52" s="8">
        <v>344.06</v>
      </c>
      <c r="U52">
        <f t="shared" si="4"/>
        <v>460.75</v>
      </c>
    </row>
    <row r="53" ht="15.75" customHeight="1" spans="1:21">
      <c r="A53" t="s">
        <v>40</v>
      </c>
      <c r="B53" t="s">
        <v>79</v>
      </c>
      <c r="C53" t="s">
        <v>13</v>
      </c>
      <c r="D53" t="s">
        <v>6</v>
      </c>
      <c r="E53">
        <v>1014.09</v>
      </c>
      <c r="F53">
        <v>13</v>
      </c>
      <c r="G53">
        <v>0.2</v>
      </c>
      <c r="H53" s="1">
        <v>45567</v>
      </c>
      <c r="I53">
        <v>202.82</v>
      </c>
      <c r="J53" s="5">
        <f t="shared" si="3"/>
        <v>9760.8</v>
      </c>
      <c r="O53">
        <v>6505.2</v>
      </c>
      <c r="R53" s="9">
        <v>1014.09</v>
      </c>
      <c r="S53" s="9">
        <v>0.2</v>
      </c>
      <c r="T53" s="9">
        <v>202.82</v>
      </c>
      <c r="U53">
        <f t="shared" si="4"/>
        <v>811.27</v>
      </c>
    </row>
    <row r="54" ht="15.75" customHeight="1" spans="1:21">
      <c r="A54" t="s">
        <v>40</v>
      </c>
      <c r="B54" t="s">
        <v>51</v>
      </c>
      <c r="C54" t="s">
        <v>15</v>
      </c>
      <c r="D54" t="s">
        <v>4</v>
      </c>
      <c r="E54">
        <v>1081.14</v>
      </c>
      <c r="F54">
        <v>19</v>
      </c>
      <c r="G54">
        <v>0.15</v>
      </c>
      <c r="H54" s="1">
        <v>45577</v>
      </c>
      <c r="I54">
        <v>367.59</v>
      </c>
      <c r="J54" s="5">
        <f t="shared" si="3"/>
        <v>9760.8</v>
      </c>
      <c r="O54">
        <v>6481.43</v>
      </c>
      <c r="R54" s="8">
        <v>1081.14</v>
      </c>
      <c r="S54" s="8">
        <v>0.15</v>
      </c>
      <c r="T54" s="8">
        <v>367.59</v>
      </c>
      <c r="U54">
        <f t="shared" si="4"/>
        <v>713.55</v>
      </c>
    </row>
    <row r="55" ht="15.75" customHeight="1" spans="1:21">
      <c r="A55" t="s">
        <v>40</v>
      </c>
      <c r="B55" t="s">
        <v>51</v>
      </c>
      <c r="C55" t="s">
        <v>15</v>
      </c>
      <c r="D55" t="s">
        <v>8</v>
      </c>
      <c r="E55">
        <v>1014.22</v>
      </c>
      <c r="F55">
        <v>14</v>
      </c>
      <c r="G55">
        <v>0.05</v>
      </c>
      <c r="H55" s="1">
        <v>45599</v>
      </c>
      <c r="I55">
        <v>433.58</v>
      </c>
      <c r="J55" s="5">
        <f t="shared" si="3"/>
        <v>9760.8</v>
      </c>
      <c r="O55">
        <v>5913.68</v>
      </c>
      <c r="R55" s="9">
        <v>1014.22</v>
      </c>
      <c r="S55" s="9">
        <v>0.05</v>
      </c>
      <c r="T55" s="9">
        <v>433.58</v>
      </c>
      <c r="U55">
        <f t="shared" si="4"/>
        <v>580.64</v>
      </c>
    </row>
    <row r="56" ht="15.75" customHeight="1" spans="1:21">
      <c r="A56" t="s">
        <v>40</v>
      </c>
      <c r="B56" t="s">
        <v>27</v>
      </c>
      <c r="C56" t="s">
        <v>13</v>
      </c>
      <c r="D56" t="s">
        <v>5</v>
      </c>
      <c r="E56">
        <v>1076.33</v>
      </c>
      <c r="F56">
        <v>2</v>
      </c>
      <c r="G56">
        <v>0.1</v>
      </c>
      <c r="H56" s="1">
        <v>45674</v>
      </c>
      <c r="I56">
        <v>484.35</v>
      </c>
      <c r="J56" s="5">
        <f t="shared" si="3"/>
        <v>9760.8</v>
      </c>
      <c r="O56">
        <v>5779.05</v>
      </c>
      <c r="R56" s="8">
        <v>1076.33</v>
      </c>
      <c r="S56" s="8">
        <v>0.1</v>
      </c>
      <c r="T56" s="8">
        <v>484.35</v>
      </c>
      <c r="U56">
        <f t="shared" si="4"/>
        <v>591.98</v>
      </c>
    </row>
    <row r="57" ht="15.75" customHeight="1" spans="1:21">
      <c r="A57" t="s">
        <v>40</v>
      </c>
      <c r="B57" t="s">
        <v>39</v>
      </c>
      <c r="C57" t="s">
        <v>13</v>
      </c>
      <c r="D57" t="s">
        <v>8</v>
      </c>
      <c r="E57">
        <v>1250.71</v>
      </c>
      <c r="F57">
        <v>7</v>
      </c>
      <c r="G57">
        <v>0</v>
      </c>
      <c r="H57" s="1">
        <v>45674</v>
      </c>
      <c r="I57">
        <v>562.82</v>
      </c>
      <c r="J57" s="5">
        <f t="shared" si="3"/>
        <v>9760.8</v>
      </c>
      <c r="O57">
        <v>4951.89</v>
      </c>
      <c r="R57" s="9">
        <v>1250.71</v>
      </c>
      <c r="S57" s="9">
        <v>0</v>
      </c>
      <c r="T57" s="9">
        <v>562.82</v>
      </c>
      <c r="U57">
        <f t="shared" si="4"/>
        <v>687.89</v>
      </c>
    </row>
    <row r="58" ht="15.75" customHeight="1" spans="1:21">
      <c r="A58" t="s">
        <v>40</v>
      </c>
      <c r="B58" t="s">
        <v>43</v>
      </c>
      <c r="C58" t="s">
        <v>15</v>
      </c>
      <c r="D58" t="s">
        <v>7</v>
      </c>
      <c r="E58">
        <v>1093.38</v>
      </c>
      <c r="F58">
        <v>17</v>
      </c>
      <c r="G58">
        <v>0.1</v>
      </c>
      <c r="H58" s="1">
        <v>45745</v>
      </c>
      <c r="I58">
        <v>344.41</v>
      </c>
      <c r="J58" s="5">
        <f t="shared" si="3"/>
        <v>9760.8</v>
      </c>
      <c r="O58">
        <v>4640.11</v>
      </c>
      <c r="R58" s="8">
        <v>1093.38</v>
      </c>
      <c r="S58" s="8">
        <v>0.1</v>
      </c>
      <c r="T58" s="8">
        <v>344.41</v>
      </c>
      <c r="U58">
        <f t="shared" si="4"/>
        <v>748.97</v>
      </c>
    </row>
    <row r="59" ht="15.75" customHeight="1" spans="1:21">
      <c r="A59" t="s">
        <v>42</v>
      </c>
      <c r="B59" t="s">
        <v>74</v>
      </c>
      <c r="C59" t="s">
        <v>13</v>
      </c>
      <c r="D59" t="s">
        <v>4</v>
      </c>
      <c r="E59">
        <v>501.54</v>
      </c>
      <c r="F59">
        <v>11</v>
      </c>
      <c r="G59">
        <v>0.05</v>
      </c>
      <c r="H59" s="1">
        <v>45401</v>
      </c>
      <c r="I59">
        <v>190.59</v>
      </c>
      <c r="J59" s="5">
        <f t="shared" si="3"/>
        <v>6505.2</v>
      </c>
      <c r="O59">
        <v>4418.28</v>
      </c>
      <c r="R59" s="9">
        <v>501.54</v>
      </c>
      <c r="S59" s="9">
        <v>0.05</v>
      </c>
      <c r="T59" s="9">
        <v>190.59</v>
      </c>
      <c r="U59">
        <f t="shared" si="4"/>
        <v>310.95</v>
      </c>
    </row>
    <row r="60" ht="15.75" customHeight="1" spans="1:21">
      <c r="A60" t="s">
        <v>42</v>
      </c>
      <c r="B60" t="s">
        <v>47</v>
      </c>
      <c r="C60" t="s">
        <v>12</v>
      </c>
      <c r="D60" t="s">
        <v>6</v>
      </c>
      <c r="E60">
        <v>818.8</v>
      </c>
      <c r="F60">
        <v>15</v>
      </c>
      <c r="G60">
        <v>0.15</v>
      </c>
      <c r="H60" s="1">
        <v>45468</v>
      </c>
      <c r="I60">
        <v>173.99</v>
      </c>
      <c r="J60" s="5">
        <f t="shared" si="3"/>
        <v>6505.2</v>
      </c>
      <c r="O60">
        <v>4413.71</v>
      </c>
      <c r="R60" s="8">
        <v>818.8</v>
      </c>
      <c r="S60" s="8">
        <v>0.15</v>
      </c>
      <c r="T60" s="8">
        <v>173.99</v>
      </c>
      <c r="U60">
        <f t="shared" si="4"/>
        <v>644.81</v>
      </c>
    </row>
    <row r="61" ht="15.75" customHeight="1" spans="1:21">
      <c r="A61" t="s">
        <v>42</v>
      </c>
      <c r="B61" t="s">
        <v>47</v>
      </c>
      <c r="C61" t="s">
        <v>14</v>
      </c>
      <c r="D61" t="s">
        <v>6</v>
      </c>
      <c r="E61">
        <v>771.02</v>
      </c>
      <c r="F61">
        <v>1</v>
      </c>
      <c r="G61">
        <v>0</v>
      </c>
      <c r="H61" s="1">
        <v>45585</v>
      </c>
      <c r="I61">
        <v>192.76</v>
      </c>
      <c r="J61" s="5">
        <f t="shared" si="3"/>
        <v>6505.2</v>
      </c>
      <c r="O61">
        <v>4259.22</v>
      </c>
      <c r="R61" s="9">
        <v>771.02</v>
      </c>
      <c r="S61" s="9">
        <v>0</v>
      </c>
      <c r="T61" s="9">
        <v>192.76</v>
      </c>
      <c r="U61">
        <f t="shared" si="4"/>
        <v>578.26</v>
      </c>
    </row>
    <row r="62" ht="15.75" customHeight="1" spans="1:21">
      <c r="A62" t="s">
        <v>42</v>
      </c>
      <c r="B62" t="s">
        <v>43</v>
      </c>
      <c r="C62" t="s">
        <v>14</v>
      </c>
      <c r="D62" t="s">
        <v>7</v>
      </c>
      <c r="E62">
        <v>1350.33</v>
      </c>
      <c r="F62">
        <v>10</v>
      </c>
      <c r="G62">
        <v>0</v>
      </c>
      <c r="H62" s="1">
        <v>45615</v>
      </c>
      <c r="I62">
        <v>472.62</v>
      </c>
      <c r="J62" s="5">
        <f t="shared" si="3"/>
        <v>6505.2</v>
      </c>
      <c r="O62">
        <v>4162.44</v>
      </c>
      <c r="R62" s="8">
        <v>1350.33</v>
      </c>
      <c r="S62" s="8">
        <v>0</v>
      </c>
      <c r="T62" s="8">
        <v>472.62</v>
      </c>
      <c r="U62">
        <f t="shared" si="4"/>
        <v>877.71</v>
      </c>
    </row>
    <row r="63" ht="15.75" customHeight="1" spans="1:21">
      <c r="A63" t="s">
        <v>42</v>
      </c>
      <c r="B63" t="s">
        <v>39</v>
      </c>
      <c r="C63" t="s">
        <v>12</v>
      </c>
      <c r="D63" t="s">
        <v>4</v>
      </c>
      <c r="E63">
        <v>1189.83</v>
      </c>
      <c r="F63">
        <v>2</v>
      </c>
      <c r="G63">
        <v>0.2</v>
      </c>
      <c r="H63" s="1">
        <v>45709</v>
      </c>
      <c r="I63">
        <v>380.75</v>
      </c>
      <c r="J63" s="5">
        <f t="shared" si="3"/>
        <v>6505.2</v>
      </c>
      <c r="O63">
        <v>3906.04</v>
      </c>
      <c r="R63" s="9">
        <v>1189.83</v>
      </c>
      <c r="S63" s="9">
        <v>0.2</v>
      </c>
      <c r="T63" s="9">
        <v>380.75</v>
      </c>
      <c r="U63">
        <f t="shared" si="4"/>
        <v>809.08</v>
      </c>
    </row>
    <row r="64" ht="15.75" customHeight="1" spans="1:21">
      <c r="A64" t="s">
        <v>42</v>
      </c>
      <c r="B64" t="s">
        <v>73</v>
      </c>
      <c r="C64" t="s">
        <v>14</v>
      </c>
      <c r="D64" t="s">
        <v>5</v>
      </c>
      <c r="E64">
        <v>689.43</v>
      </c>
      <c r="F64">
        <v>9</v>
      </c>
      <c r="G64">
        <v>0.1</v>
      </c>
      <c r="H64" s="1">
        <v>45736</v>
      </c>
      <c r="I64">
        <v>310.24</v>
      </c>
      <c r="J64" s="5">
        <f t="shared" si="3"/>
        <v>6505.2</v>
      </c>
      <c r="O64">
        <v>3762.29</v>
      </c>
      <c r="R64" s="8">
        <v>689.43</v>
      </c>
      <c r="S64" s="8">
        <v>0.1</v>
      </c>
      <c r="T64" s="8">
        <v>310.24</v>
      </c>
      <c r="U64">
        <f t="shared" si="4"/>
        <v>379.19</v>
      </c>
    </row>
    <row r="65" ht="15.75" customHeight="1" spans="1:21">
      <c r="A65" t="s">
        <v>42</v>
      </c>
      <c r="B65" t="s">
        <v>33</v>
      </c>
      <c r="C65" t="s">
        <v>14</v>
      </c>
      <c r="D65" t="s">
        <v>7</v>
      </c>
      <c r="E65">
        <v>1184.25</v>
      </c>
      <c r="F65">
        <v>11</v>
      </c>
      <c r="G65">
        <v>0.2</v>
      </c>
      <c r="H65" s="1">
        <v>45742</v>
      </c>
      <c r="I65">
        <v>331.59</v>
      </c>
      <c r="J65" s="5">
        <f t="shared" si="3"/>
        <v>6505.2</v>
      </c>
      <c r="O65">
        <v>3419.2</v>
      </c>
      <c r="R65" s="9">
        <v>1184.25</v>
      </c>
      <c r="S65" s="9">
        <v>0.2</v>
      </c>
      <c r="T65" s="9">
        <v>331.59</v>
      </c>
      <c r="U65">
        <f t="shared" si="4"/>
        <v>852.66</v>
      </c>
    </row>
    <row r="66" ht="15.75" customHeight="1" spans="1:21">
      <c r="A66" t="s">
        <v>44</v>
      </c>
      <c r="B66" t="s">
        <v>80</v>
      </c>
      <c r="C66" t="s">
        <v>13</v>
      </c>
      <c r="D66" t="s">
        <v>5</v>
      </c>
      <c r="E66">
        <v>737.31</v>
      </c>
      <c r="F66">
        <v>2</v>
      </c>
      <c r="G66">
        <v>0.05</v>
      </c>
      <c r="H66" s="1">
        <v>45401</v>
      </c>
      <c r="I66">
        <v>350.22</v>
      </c>
      <c r="J66" s="5">
        <f t="shared" ref="J66:J97" si="5">SUMIF($A$2:$A$201,A66,$E$2:$E$201)</f>
        <v>4259.22</v>
      </c>
      <c r="O66">
        <v>3369.17</v>
      </c>
      <c r="R66" s="8">
        <v>737.31</v>
      </c>
      <c r="S66" s="8">
        <v>0.05</v>
      </c>
      <c r="T66" s="8">
        <v>350.22</v>
      </c>
      <c r="U66">
        <f t="shared" si="4"/>
        <v>387.09</v>
      </c>
    </row>
    <row r="67" ht="15.75" customHeight="1" spans="1:21">
      <c r="A67" t="s">
        <v>44</v>
      </c>
      <c r="B67" t="s">
        <v>41</v>
      </c>
      <c r="C67" t="s">
        <v>14</v>
      </c>
      <c r="D67" t="s">
        <v>6</v>
      </c>
      <c r="E67">
        <v>1173.12</v>
      </c>
      <c r="F67">
        <v>18</v>
      </c>
      <c r="G67">
        <v>0</v>
      </c>
      <c r="H67" s="1">
        <v>45418</v>
      </c>
      <c r="I67">
        <v>293.28</v>
      </c>
      <c r="J67" s="5">
        <f t="shared" si="5"/>
        <v>4259.22</v>
      </c>
      <c r="O67">
        <v>2699.75</v>
      </c>
      <c r="R67" s="9">
        <v>1173.12</v>
      </c>
      <c r="S67" s="9">
        <v>0</v>
      </c>
      <c r="T67" s="9">
        <v>293.28</v>
      </c>
      <c r="U67">
        <f t="shared" ref="U67:U98" si="6">R67-T67</f>
        <v>879.84</v>
      </c>
    </row>
    <row r="68" ht="15.75" customHeight="1" spans="1:21">
      <c r="A68" t="s">
        <v>44</v>
      </c>
      <c r="B68" t="s">
        <v>75</v>
      </c>
      <c r="C68" t="s">
        <v>13</v>
      </c>
      <c r="D68" t="s">
        <v>8</v>
      </c>
      <c r="E68">
        <v>488.99</v>
      </c>
      <c r="F68">
        <v>9</v>
      </c>
      <c r="G68">
        <v>0</v>
      </c>
      <c r="H68" s="1">
        <v>45479</v>
      </c>
      <c r="I68">
        <v>220.05</v>
      </c>
      <c r="J68" s="5">
        <f t="shared" si="5"/>
        <v>4259.22</v>
      </c>
      <c r="R68" s="8">
        <v>488.99</v>
      </c>
      <c r="S68" s="8">
        <v>0</v>
      </c>
      <c r="T68" s="8">
        <v>220.05</v>
      </c>
      <c r="U68">
        <f t="shared" si="6"/>
        <v>268.94</v>
      </c>
    </row>
    <row r="69" ht="15.75" customHeight="1" spans="1:21">
      <c r="A69" t="s">
        <v>44</v>
      </c>
      <c r="B69" t="s">
        <v>26</v>
      </c>
      <c r="C69" t="s">
        <v>11</v>
      </c>
      <c r="D69" t="s">
        <v>7</v>
      </c>
      <c r="E69">
        <v>862.19</v>
      </c>
      <c r="F69">
        <v>18</v>
      </c>
      <c r="G69">
        <v>0.05</v>
      </c>
      <c r="H69" s="1">
        <v>45663</v>
      </c>
      <c r="I69">
        <v>286.68</v>
      </c>
      <c r="J69" s="5">
        <f t="shared" si="5"/>
        <v>4259.22</v>
      </c>
      <c r="R69" s="9">
        <v>862.19</v>
      </c>
      <c r="S69" s="9">
        <v>0.05</v>
      </c>
      <c r="T69" s="9">
        <v>286.68</v>
      </c>
      <c r="U69">
        <f t="shared" si="6"/>
        <v>575.51</v>
      </c>
    </row>
    <row r="70" ht="15.75" customHeight="1" spans="1:21">
      <c r="A70" t="s">
        <v>44</v>
      </c>
      <c r="B70" t="s">
        <v>80</v>
      </c>
      <c r="C70" t="s">
        <v>15</v>
      </c>
      <c r="D70" t="s">
        <v>4</v>
      </c>
      <c r="E70">
        <v>997.61</v>
      </c>
      <c r="F70">
        <v>8</v>
      </c>
      <c r="G70">
        <v>0.05</v>
      </c>
      <c r="H70" s="1">
        <v>45752</v>
      </c>
      <c r="I70">
        <v>379.09</v>
      </c>
      <c r="J70" s="5">
        <f t="shared" si="5"/>
        <v>4259.22</v>
      </c>
      <c r="R70" s="8">
        <v>997.61</v>
      </c>
      <c r="S70" s="8">
        <v>0.05</v>
      </c>
      <c r="T70" s="8">
        <v>379.09</v>
      </c>
      <c r="U70">
        <f t="shared" si="6"/>
        <v>618.52</v>
      </c>
    </row>
    <row r="71" ht="15.75" customHeight="1" spans="1:21">
      <c r="A71" t="s">
        <v>45</v>
      </c>
      <c r="B71" t="s">
        <v>39</v>
      </c>
      <c r="C71" t="s">
        <v>12</v>
      </c>
      <c r="D71" t="s">
        <v>8</v>
      </c>
      <c r="E71">
        <v>1001.57</v>
      </c>
      <c r="F71">
        <v>12</v>
      </c>
      <c r="G71">
        <v>0</v>
      </c>
      <c r="H71" s="1">
        <v>45450</v>
      </c>
      <c r="I71">
        <v>450.71</v>
      </c>
      <c r="J71" s="5">
        <f t="shared" si="5"/>
        <v>3762.29</v>
      </c>
      <c r="R71" s="9">
        <v>1001.57</v>
      </c>
      <c r="S71" s="9">
        <v>0</v>
      </c>
      <c r="T71" s="9">
        <v>450.71</v>
      </c>
      <c r="U71">
        <f t="shared" si="6"/>
        <v>550.86</v>
      </c>
    </row>
    <row r="72" ht="15.75" customHeight="1" spans="1:21">
      <c r="A72" t="s">
        <v>45</v>
      </c>
      <c r="B72" t="s">
        <v>43</v>
      </c>
      <c r="C72" t="s">
        <v>15</v>
      </c>
      <c r="D72" t="s">
        <v>4</v>
      </c>
      <c r="E72">
        <v>1213.48</v>
      </c>
      <c r="F72">
        <v>5</v>
      </c>
      <c r="G72">
        <v>0.05</v>
      </c>
      <c r="H72" s="1">
        <v>45616</v>
      </c>
      <c r="I72">
        <v>461.12</v>
      </c>
      <c r="J72" s="5">
        <f t="shared" si="5"/>
        <v>3762.29</v>
      </c>
      <c r="R72" s="8">
        <v>1213.48</v>
      </c>
      <c r="S72" s="8">
        <v>0.05</v>
      </c>
      <c r="T72" s="8">
        <v>461.12</v>
      </c>
      <c r="U72">
        <f t="shared" si="6"/>
        <v>752.36</v>
      </c>
    </row>
    <row r="73" ht="15.75" customHeight="1" spans="1:21">
      <c r="A73" t="s">
        <v>45</v>
      </c>
      <c r="B73" t="s">
        <v>56</v>
      </c>
      <c r="C73" t="s">
        <v>13</v>
      </c>
      <c r="D73" t="s">
        <v>5</v>
      </c>
      <c r="E73">
        <v>662.61</v>
      </c>
      <c r="F73">
        <v>11</v>
      </c>
      <c r="G73">
        <v>0.05</v>
      </c>
      <c r="H73" s="1">
        <v>45658</v>
      </c>
      <c r="I73">
        <v>314.74</v>
      </c>
      <c r="J73" s="5">
        <f t="shared" si="5"/>
        <v>3762.29</v>
      </c>
      <c r="R73" s="9">
        <v>662.61</v>
      </c>
      <c r="S73" s="9">
        <v>0.05</v>
      </c>
      <c r="T73" s="9">
        <v>314.74</v>
      </c>
      <c r="U73">
        <f t="shared" si="6"/>
        <v>347.87</v>
      </c>
    </row>
    <row r="74" ht="15.75" customHeight="1" spans="1:21">
      <c r="A74" t="s">
        <v>45</v>
      </c>
      <c r="B74" t="s">
        <v>26</v>
      </c>
      <c r="C74" t="s">
        <v>12</v>
      </c>
      <c r="D74" t="s">
        <v>4</v>
      </c>
      <c r="E74">
        <v>884.63</v>
      </c>
      <c r="F74">
        <v>18</v>
      </c>
      <c r="G74">
        <v>0.1</v>
      </c>
      <c r="H74" s="1">
        <v>45659</v>
      </c>
      <c r="I74">
        <v>318.47</v>
      </c>
      <c r="J74" s="5">
        <f t="shared" si="5"/>
        <v>3762.29</v>
      </c>
      <c r="R74" s="8">
        <v>884.63</v>
      </c>
      <c r="S74" s="8">
        <v>0.1</v>
      </c>
      <c r="T74" s="8">
        <v>318.47</v>
      </c>
      <c r="U74">
        <f t="shared" si="6"/>
        <v>566.16</v>
      </c>
    </row>
    <row r="75" ht="15.75" customHeight="1" spans="1:21">
      <c r="A75" t="s">
        <v>46</v>
      </c>
      <c r="B75" t="s">
        <v>69</v>
      </c>
      <c r="C75" t="s">
        <v>11</v>
      </c>
      <c r="D75" t="s">
        <v>5</v>
      </c>
      <c r="E75">
        <v>1101.28</v>
      </c>
      <c r="F75">
        <v>3</v>
      </c>
      <c r="G75">
        <v>0.2</v>
      </c>
      <c r="H75" s="1">
        <v>45393</v>
      </c>
      <c r="I75">
        <v>440.51</v>
      </c>
      <c r="J75" s="5">
        <f t="shared" si="5"/>
        <v>8339</v>
      </c>
      <c r="R75" s="9">
        <v>1101.28</v>
      </c>
      <c r="S75" s="9">
        <v>0.2</v>
      </c>
      <c r="T75" s="9">
        <v>440.51</v>
      </c>
      <c r="U75">
        <f t="shared" si="6"/>
        <v>660.77</v>
      </c>
    </row>
    <row r="76" ht="15.75" customHeight="1" spans="1:21">
      <c r="A76" t="s">
        <v>46</v>
      </c>
      <c r="B76" t="s">
        <v>39</v>
      </c>
      <c r="C76" t="s">
        <v>13</v>
      </c>
      <c r="D76" t="s">
        <v>8</v>
      </c>
      <c r="E76">
        <v>925.31</v>
      </c>
      <c r="F76">
        <v>8</v>
      </c>
      <c r="G76">
        <v>0.1</v>
      </c>
      <c r="H76" s="1">
        <v>45418</v>
      </c>
      <c r="I76">
        <v>374.75</v>
      </c>
      <c r="J76" s="5">
        <f t="shared" si="5"/>
        <v>8339</v>
      </c>
      <c r="R76" s="8">
        <v>925.31</v>
      </c>
      <c r="S76" s="8">
        <v>0.1</v>
      </c>
      <c r="T76" s="8">
        <v>374.75</v>
      </c>
      <c r="U76">
        <f t="shared" si="6"/>
        <v>550.56</v>
      </c>
    </row>
    <row r="77" ht="15.75" customHeight="1" spans="1:21">
      <c r="A77" t="s">
        <v>46</v>
      </c>
      <c r="B77" t="s">
        <v>33</v>
      </c>
      <c r="C77" t="s">
        <v>11</v>
      </c>
      <c r="D77" t="s">
        <v>4</v>
      </c>
      <c r="E77">
        <v>472.38</v>
      </c>
      <c r="F77">
        <v>12</v>
      </c>
      <c r="G77">
        <v>0.2</v>
      </c>
      <c r="H77" s="1">
        <v>45429</v>
      </c>
      <c r="I77">
        <v>151.16</v>
      </c>
      <c r="J77" s="5">
        <f t="shared" si="5"/>
        <v>8339</v>
      </c>
      <c r="R77" s="9">
        <v>472.38</v>
      </c>
      <c r="S77" s="9">
        <v>0.2</v>
      </c>
      <c r="T77" s="9">
        <v>151.16</v>
      </c>
      <c r="U77">
        <f t="shared" si="6"/>
        <v>321.22</v>
      </c>
    </row>
    <row r="78" ht="15.75" customHeight="1" spans="1:21">
      <c r="A78" t="s">
        <v>46</v>
      </c>
      <c r="B78" t="s">
        <v>77</v>
      </c>
      <c r="C78" t="s">
        <v>11</v>
      </c>
      <c r="D78" t="s">
        <v>5</v>
      </c>
      <c r="E78">
        <v>1360.36</v>
      </c>
      <c r="F78">
        <v>17</v>
      </c>
      <c r="G78">
        <v>0</v>
      </c>
      <c r="H78" s="1">
        <v>45473</v>
      </c>
      <c r="I78">
        <v>680.18</v>
      </c>
      <c r="J78" s="5">
        <f t="shared" si="5"/>
        <v>8339</v>
      </c>
      <c r="R78" s="8">
        <v>1360.36</v>
      </c>
      <c r="S78" s="8">
        <v>0</v>
      </c>
      <c r="T78" s="8">
        <v>680.18</v>
      </c>
      <c r="U78">
        <f t="shared" si="6"/>
        <v>680.18</v>
      </c>
    </row>
    <row r="79" ht="15.75" customHeight="1" spans="1:21">
      <c r="A79" t="s">
        <v>46</v>
      </c>
      <c r="B79" t="s">
        <v>35</v>
      </c>
      <c r="C79" t="s">
        <v>14</v>
      </c>
      <c r="D79" t="s">
        <v>4</v>
      </c>
      <c r="E79">
        <v>804.45</v>
      </c>
      <c r="F79">
        <v>5</v>
      </c>
      <c r="G79">
        <v>0.2</v>
      </c>
      <c r="H79" s="1">
        <v>45509</v>
      </c>
      <c r="I79">
        <v>257.42</v>
      </c>
      <c r="J79" s="5">
        <f t="shared" si="5"/>
        <v>8339</v>
      </c>
      <c r="R79" s="9">
        <v>804.45</v>
      </c>
      <c r="S79" s="9">
        <v>0.2</v>
      </c>
      <c r="T79" s="9">
        <v>257.42</v>
      </c>
      <c r="U79">
        <f t="shared" si="6"/>
        <v>547.03</v>
      </c>
    </row>
    <row r="80" ht="15.75" customHeight="1" spans="1:21">
      <c r="A80" t="s">
        <v>46</v>
      </c>
      <c r="B80" t="s">
        <v>26</v>
      </c>
      <c r="C80" t="s">
        <v>11</v>
      </c>
      <c r="D80" t="s">
        <v>6</v>
      </c>
      <c r="E80">
        <v>1215.26</v>
      </c>
      <c r="F80">
        <v>5</v>
      </c>
      <c r="G80">
        <v>0.15</v>
      </c>
      <c r="H80" s="1">
        <v>45513</v>
      </c>
      <c r="I80">
        <v>258.24</v>
      </c>
      <c r="J80" s="5">
        <f t="shared" si="5"/>
        <v>8339</v>
      </c>
      <c r="R80" s="8">
        <v>1215.26</v>
      </c>
      <c r="S80" s="8">
        <v>0.15</v>
      </c>
      <c r="T80" s="8">
        <v>258.24</v>
      </c>
      <c r="U80">
        <f t="shared" si="6"/>
        <v>957.02</v>
      </c>
    </row>
    <row r="81" ht="15.75" customHeight="1" spans="1:21">
      <c r="A81" t="s">
        <v>46</v>
      </c>
      <c r="B81" t="s">
        <v>37</v>
      </c>
      <c r="C81" t="s">
        <v>12</v>
      </c>
      <c r="D81" t="s">
        <v>6</v>
      </c>
      <c r="E81">
        <v>925.29</v>
      </c>
      <c r="F81">
        <v>17</v>
      </c>
      <c r="G81">
        <v>0</v>
      </c>
      <c r="H81" s="1">
        <v>45570</v>
      </c>
      <c r="I81">
        <v>231.32</v>
      </c>
      <c r="J81" s="5">
        <f t="shared" si="5"/>
        <v>8339</v>
      </c>
      <c r="R81" s="9">
        <v>925.29</v>
      </c>
      <c r="S81" s="9">
        <v>0</v>
      </c>
      <c r="T81" s="9">
        <v>231.32</v>
      </c>
      <c r="U81">
        <f t="shared" si="6"/>
        <v>693.97</v>
      </c>
    </row>
    <row r="82" ht="15.75" customHeight="1" spans="1:21">
      <c r="A82" t="s">
        <v>46</v>
      </c>
      <c r="B82" t="s">
        <v>75</v>
      </c>
      <c r="C82" t="s">
        <v>11</v>
      </c>
      <c r="D82" t="s">
        <v>6</v>
      </c>
      <c r="E82">
        <v>688.83</v>
      </c>
      <c r="F82">
        <v>15</v>
      </c>
      <c r="G82">
        <v>0</v>
      </c>
      <c r="H82" s="1">
        <v>45595</v>
      </c>
      <c r="I82">
        <v>172.21</v>
      </c>
      <c r="J82" s="5">
        <f t="shared" si="5"/>
        <v>8339</v>
      </c>
      <c r="R82" s="8">
        <v>688.83</v>
      </c>
      <c r="S82" s="8">
        <v>0</v>
      </c>
      <c r="T82" s="8">
        <v>172.21</v>
      </c>
      <c r="U82">
        <f t="shared" si="6"/>
        <v>516.62</v>
      </c>
    </row>
    <row r="83" ht="15.75" customHeight="1" spans="1:21">
      <c r="A83" t="s">
        <v>46</v>
      </c>
      <c r="B83" t="s">
        <v>27</v>
      </c>
      <c r="C83" t="s">
        <v>12</v>
      </c>
      <c r="D83" t="s">
        <v>5</v>
      </c>
      <c r="E83">
        <v>845.84</v>
      </c>
      <c r="F83">
        <v>4</v>
      </c>
      <c r="G83">
        <v>0</v>
      </c>
      <c r="H83" s="1">
        <v>45707</v>
      </c>
      <c r="I83">
        <v>422.92</v>
      </c>
      <c r="J83" s="5">
        <f t="shared" si="5"/>
        <v>8339</v>
      </c>
      <c r="R83" s="9">
        <v>845.84</v>
      </c>
      <c r="S83" s="9">
        <v>0</v>
      </c>
      <c r="T83" s="9">
        <v>422.92</v>
      </c>
      <c r="U83">
        <f t="shared" si="6"/>
        <v>422.92</v>
      </c>
    </row>
    <row r="84" ht="15.75" customHeight="1" spans="1:21">
      <c r="A84" t="s">
        <v>48</v>
      </c>
      <c r="B84" t="s">
        <v>69</v>
      </c>
      <c r="C84" t="s">
        <v>14</v>
      </c>
      <c r="D84" t="s">
        <v>7</v>
      </c>
      <c r="E84">
        <v>727.73</v>
      </c>
      <c r="F84">
        <v>1</v>
      </c>
      <c r="G84">
        <v>0.1</v>
      </c>
      <c r="H84" s="1">
        <v>45552</v>
      </c>
      <c r="I84">
        <v>229.23</v>
      </c>
      <c r="J84" s="5">
        <f t="shared" si="5"/>
        <v>4162.44</v>
      </c>
      <c r="R84" s="8">
        <v>727.73</v>
      </c>
      <c r="S84" s="8">
        <v>0.1</v>
      </c>
      <c r="T84" s="8">
        <v>229.23</v>
      </c>
      <c r="U84">
        <f t="shared" si="6"/>
        <v>498.5</v>
      </c>
    </row>
    <row r="85" ht="15.75" customHeight="1" spans="1:21">
      <c r="A85" t="s">
        <v>48</v>
      </c>
      <c r="B85" t="s">
        <v>26</v>
      </c>
      <c r="C85" t="s">
        <v>13</v>
      </c>
      <c r="D85" t="s">
        <v>4</v>
      </c>
      <c r="E85">
        <v>1249.1</v>
      </c>
      <c r="F85">
        <v>4</v>
      </c>
      <c r="G85">
        <v>0.05</v>
      </c>
      <c r="H85" s="1">
        <v>45597</v>
      </c>
      <c r="I85">
        <v>474.66</v>
      </c>
      <c r="J85" s="5">
        <f t="shared" si="5"/>
        <v>4162.44</v>
      </c>
      <c r="R85" s="9">
        <v>1249.1</v>
      </c>
      <c r="S85" s="9">
        <v>0.05</v>
      </c>
      <c r="T85" s="9">
        <v>474.66</v>
      </c>
      <c r="U85">
        <f t="shared" si="6"/>
        <v>774.44</v>
      </c>
    </row>
    <row r="86" ht="15.75" customHeight="1" spans="1:21">
      <c r="A86" t="s">
        <v>48</v>
      </c>
      <c r="B86" t="s">
        <v>77</v>
      </c>
      <c r="C86" t="s">
        <v>12</v>
      </c>
      <c r="D86" t="s">
        <v>5</v>
      </c>
      <c r="E86">
        <v>1171.18</v>
      </c>
      <c r="F86">
        <v>19</v>
      </c>
      <c r="G86">
        <v>0.05</v>
      </c>
      <c r="H86" s="1">
        <v>45667</v>
      </c>
      <c r="I86">
        <v>556.31</v>
      </c>
      <c r="J86" s="5">
        <f t="shared" si="5"/>
        <v>4162.44</v>
      </c>
      <c r="R86" s="8">
        <v>1171.18</v>
      </c>
      <c r="S86" s="8">
        <v>0.05</v>
      </c>
      <c r="T86" s="8">
        <v>556.31</v>
      </c>
      <c r="U86">
        <f t="shared" si="6"/>
        <v>614.87</v>
      </c>
    </row>
    <row r="87" ht="15.75" customHeight="1" spans="1:21">
      <c r="A87" t="s">
        <v>48</v>
      </c>
      <c r="B87" t="s">
        <v>73</v>
      </c>
      <c r="C87" t="s">
        <v>13</v>
      </c>
      <c r="D87" t="s">
        <v>4</v>
      </c>
      <c r="E87">
        <v>1014.43</v>
      </c>
      <c r="F87">
        <v>2</v>
      </c>
      <c r="G87">
        <v>0.15</v>
      </c>
      <c r="H87" s="1">
        <v>45713</v>
      </c>
      <c r="I87">
        <v>344.91</v>
      </c>
      <c r="J87" s="5">
        <f t="shared" si="5"/>
        <v>4162.44</v>
      </c>
      <c r="R87" s="9">
        <v>1014.43</v>
      </c>
      <c r="S87" s="9">
        <v>0.15</v>
      </c>
      <c r="T87" s="9">
        <v>344.91</v>
      </c>
      <c r="U87">
        <f t="shared" si="6"/>
        <v>669.52</v>
      </c>
    </row>
    <row r="88" ht="15.75" customHeight="1" spans="1:21">
      <c r="A88" t="s">
        <v>50</v>
      </c>
      <c r="B88" t="s">
        <v>47</v>
      </c>
      <c r="C88" t="s">
        <v>11</v>
      </c>
      <c r="D88" t="s">
        <v>8</v>
      </c>
      <c r="E88">
        <v>1572.82</v>
      </c>
      <c r="F88">
        <v>6</v>
      </c>
      <c r="G88">
        <v>0.05</v>
      </c>
      <c r="H88" s="1">
        <v>45402</v>
      </c>
      <c r="I88">
        <v>672.38</v>
      </c>
      <c r="J88" s="5">
        <f t="shared" si="5"/>
        <v>6729.89</v>
      </c>
      <c r="R88" s="8">
        <v>1572.82</v>
      </c>
      <c r="S88" s="8">
        <v>0.05</v>
      </c>
      <c r="T88" s="8">
        <v>672.38</v>
      </c>
      <c r="U88">
        <f t="shared" si="6"/>
        <v>900.44</v>
      </c>
    </row>
    <row r="89" ht="15.75" customHeight="1" spans="1:21">
      <c r="A89" t="s">
        <v>50</v>
      </c>
      <c r="B89" t="s">
        <v>80</v>
      </c>
      <c r="C89" t="s">
        <v>13</v>
      </c>
      <c r="D89" t="s">
        <v>4</v>
      </c>
      <c r="E89">
        <v>1343.13</v>
      </c>
      <c r="F89">
        <v>14</v>
      </c>
      <c r="G89">
        <v>0.15</v>
      </c>
      <c r="H89" s="1">
        <v>45404</v>
      </c>
      <c r="I89">
        <v>456.66</v>
      </c>
      <c r="J89" s="5">
        <f t="shared" si="5"/>
        <v>6729.89</v>
      </c>
      <c r="R89" s="9">
        <v>1343.13</v>
      </c>
      <c r="S89" s="9">
        <v>0.15</v>
      </c>
      <c r="T89" s="9">
        <v>456.66</v>
      </c>
      <c r="U89">
        <f t="shared" si="6"/>
        <v>886.47</v>
      </c>
    </row>
    <row r="90" ht="15.75" customHeight="1" spans="1:21">
      <c r="A90" t="s">
        <v>50</v>
      </c>
      <c r="B90" t="s">
        <v>61</v>
      </c>
      <c r="C90" t="s">
        <v>14</v>
      </c>
      <c r="D90" t="s">
        <v>4</v>
      </c>
      <c r="E90">
        <v>961.62</v>
      </c>
      <c r="F90">
        <v>8</v>
      </c>
      <c r="G90">
        <v>0.2</v>
      </c>
      <c r="H90" s="1">
        <v>45577</v>
      </c>
      <c r="I90">
        <v>307.72</v>
      </c>
      <c r="J90" s="5">
        <f t="shared" si="5"/>
        <v>6729.89</v>
      </c>
      <c r="R90" s="8">
        <v>961.62</v>
      </c>
      <c r="S90" s="8">
        <v>0.2</v>
      </c>
      <c r="T90" s="8">
        <v>307.72</v>
      </c>
      <c r="U90">
        <f t="shared" si="6"/>
        <v>653.9</v>
      </c>
    </row>
    <row r="91" ht="15.75" customHeight="1" spans="1:21">
      <c r="A91" t="s">
        <v>50</v>
      </c>
      <c r="B91" t="s">
        <v>35</v>
      </c>
      <c r="C91" t="s">
        <v>14</v>
      </c>
      <c r="D91" t="s">
        <v>7</v>
      </c>
      <c r="E91">
        <v>853.86</v>
      </c>
      <c r="F91">
        <v>8</v>
      </c>
      <c r="G91">
        <v>0.1</v>
      </c>
      <c r="H91" s="1">
        <v>45622</v>
      </c>
      <c r="I91">
        <v>268.97</v>
      </c>
      <c r="J91" s="5">
        <f t="shared" si="5"/>
        <v>6729.89</v>
      </c>
      <c r="R91" s="9">
        <v>853.86</v>
      </c>
      <c r="S91" s="9">
        <v>0.1</v>
      </c>
      <c r="T91" s="9">
        <v>268.97</v>
      </c>
      <c r="U91">
        <f t="shared" si="6"/>
        <v>584.89</v>
      </c>
    </row>
    <row r="92" ht="15.75" customHeight="1" spans="1:21">
      <c r="A92" t="s">
        <v>50</v>
      </c>
      <c r="B92" t="s">
        <v>47</v>
      </c>
      <c r="C92" t="s">
        <v>14</v>
      </c>
      <c r="D92" t="s">
        <v>4</v>
      </c>
      <c r="E92">
        <v>1064.19</v>
      </c>
      <c r="F92">
        <v>18</v>
      </c>
      <c r="G92">
        <v>0.05</v>
      </c>
      <c r="H92" s="1">
        <v>45725</v>
      </c>
      <c r="I92">
        <v>404.39</v>
      </c>
      <c r="J92" s="5">
        <f t="shared" si="5"/>
        <v>6729.89</v>
      </c>
      <c r="R92" s="8">
        <v>1064.19</v>
      </c>
      <c r="S92" s="8">
        <v>0.05</v>
      </c>
      <c r="T92" s="8">
        <v>404.39</v>
      </c>
      <c r="U92">
        <f t="shared" si="6"/>
        <v>659.8</v>
      </c>
    </row>
    <row r="93" ht="15.75" customHeight="1" spans="1:21">
      <c r="A93" t="s">
        <v>50</v>
      </c>
      <c r="B93" t="s">
        <v>31</v>
      </c>
      <c r="C93" t="s">
        <v>11</v>
      </c>
      <c r="D93" t="s">
        <v>5</v>
      </c>
      <c r="E93">
        <v>934.27</v>
      </c>
      <c r="F93">
        <v>8</v>
      </c>
      <c r="G93">
        <v>0.15</v>
      </c>
      <c r="H93" s="1">
        <v>45746</v>
      </c>
      <c r="I93">
        <v>397.06</v>
      </c>
      <c r="J93" s="5">
        <f t="shared" si="5"/>
        <v>6729.89</v>
      </c>
      <c r="R93" s="9">
        <v>934.27</v>
      </c>
      <c r="S93" s="9">
        <v>0.15</v>
      </c>
      <c r="T93" s="9">
        <v>397.06</v>
      </c>
      <c r="U93">
        <f t="shared" si="6"/>
        <v>537.21</v>
      </c>
    </row>
    <row r="94" ht="15.75" customHeight="1" spans="1:21">
      <c r="A94" t="s">
        <v>52</v>
      </c>
      <c r="B94" t="s">
        <v>73</v>
      </c>
      <c r="C94" t="s">
        <v>12</v>
      </c>
      <c r="D94" t="s">
        <v>8</v>
      </c>
      <c r="E94">
        <v>1200.9</v>
      </c>
      <c r="F94">
        <v>14</v>
      </c>
      <c r="G94">
        <v>0.05</v>
      </c>
      <c r="H94" s="1">
        <v>45429</v>
      </c>
      <c r="I94">
        <v>513.38</v>
      </c>
      <c r="J94" s="5">
        <f t="shared" si="5"/>
        <v>11611.06</v>
      </c>
      <c r="R94" s="8">
        <v>1200.9</v>
      </c>
      <c r="S94" s="8">
        <v>0.05</v>
      </c>
      <c r="T94" s="8">
        <v>513.38</v>
      </c>
      <c r="U94">
        <f t="shared" si="6"/>
        <v>687.52</v>
      </c>
    </row>
    <row r="95" ht="15.75" customHeight="1" spans="1:21">
      <c r="A95" t="s">
        <v>52</v>
      </c>
      <c r="B95" t="s">
        <v>51</v>
      </c>
      <c r="C95" t="s">
        <v>14</v>
      </c>
      <c r="D95" t="s">
        <v>5</v>
      </c>
      <c r="E95">
        <v>1226.62</v>
      </c>
      <c r="F95">
        <v>7</v>
      </c>
      <c r="G95">
        <v>0.1</v>
      </c>
      <c r="H95" s="1">
        <v>45463</v>
      </c>
      <c r="I95">
        <v>551.98</v>
      </c>
      <c r="J95" s="5">
        <f t="shared" si="5"/>
        <v>11611.06</v>
      </c>
      <c r="R95" s="9">
        <v>1226.62</v>
      </c>
      <c r="S95" s="9">
        <v>0.1</v>
      </c>
      <c r="T95" s="9">
        <v>551.98</v>
      </c>
      <c r="U95">
        <f t="shared" si="6"/>
        <v>674.64</v>
      </c>
    </row>
    <row r="96" ht="15.75" customHeight="1" spans="1:21">
      <c r="A96" t="s">
        <v>52</v>
      </c>
      <c r="B96" t="s">
        <v>80</v>
      </c>
      <c r="C96" t="s">
        <v>11</v>
      </c>
      <c r="D96" t="s">
        <v>5</v>
      </c>
      <c r="E96">
        <v>1168.89</v>
      </c>
      <c r="F96">
        <v>4</v>
      </c>
      <c r="G96">
        <v>0.1</v>
      </c>
      <c r="H96" s="1">
        <v>45544</v>
      </c>
      <c r="I96">
        <v>526</v>
      </c>
      <c r="J96" s="5">
        <f t="shared" si="5"/>
        <v>11611.06</v>
      </c>
      <c r="R96" s="8">
        <v>1168.89</v>
      </c>
      <c r="S96" s="8">
        <v>0.1</v>
      </c>
      <c r="T96" s="8">
        <v>526</v>
      </c>
      <c r="U96">
        <f t="shared" si="6"/>
        <v>642.89</v>
      </c>
    </row>
    <row r="97" ht="15.75" customHeight="1" spans="1:21">
      <c r="A97" t="s">
        <v>52</v>
      </c>
      <c r="B97" t="s">
        <v>51</v>
      </c>
      <c r="C97" t="s">
        <v>11</v>
      </c>
      <c r="D97" t="s">
        <v>5</v>
      </c>
      <c r="E97">
        <v>1923.66</v>
      </c>
      <c r="F97">
        <v>9</v>
      </c>
      <c r="G97">
        <v>0.2</v>
      </c>
      <c r="H97" s="1">
        <v>45580</v>
      </c>
      <c r="I97">
        <v>769.46</v>
      </c>
      <c r="J97" s="5">
        <f t="shared" si="5"/>
        <v>11611.06</v>
      </c>
      <c r="R97" s="9">
        <v>1923.66</v>
      </c>
      <c r="S97" s="9">
        <v>0.2</v>
      </c>
      <c r="T97" s="9">
        <v>769.46</v>
      </c>
      <c r="U97">
        <f t="shared" si="6"/>
        <v>1154.2</v>
      </c>
    </row>
    <row r="98" ht="15.75" customHeight="1" spans="1:21">
      <c r="A98" t="s">
        <v>52</v>
      </c>
      <c r="B98" t="s">
        <v>35</v>
      </c>
      <c r="C98" t="s">
        <v>11</v>
      </c>
      <c r="D98" t="s">
        <v>7</v>
      </c>
      <c r="E98">
        <v>820.19</v>
      </c>
      <c r="F98">
        <v>4</v>
      </c>
      <c r="G98">
        <v>0.2</v>
      </c>
      <c r="H98" s="1">
        <v>45630</v>
      </c>
      <c r="I98">
        <v>229.65</v>
      </c>
      <c r="J98" s="5">
        <f t="shared" ref="J98:J129" si="7">SUMIF($A$2:$A$201,A98,$E$2:$E$201)</f>
        <v>11611.06</v>
      </c>
      <c r="R98" s="8">
        <v>820.19</v>
      </c>
      <c r="S98" s="8">
        <v>0.2</v>
      </c>
      <c r="T98" s="8">
        <v>229.65</v>
      </c>
      <c r="U98">
        <f t="shared" si="6"/>
        <v>590.54</v>
      </c>
    </row>
    <row r="99" ht="15.75" customHeight="1" spans="1:21">
      <c r="A99" t="s">
        <v>52</v>
      </c>
      <c r="B99" t="s">
        <v>47</v>
      </c>
      <c r="C99" t="s">
        <v>13</v>
      </c>
      <c r="D99" t="s">
        <v>6</v>
      </c>
      <c r="E99">
        <v>511.74</v>
      </c>
      <c r="F99">
        <v>8</v>
      </c>
      <c r="G99">
        <v>0.05</v>
      </c>
      <c r="H99" s="1">
        <v>45631</v>
      </c>
      <c r="I99">
        <v>121.54</v>
      </c>
      <c r="J99" s="5">
        <f t="shared" si="7"/>
        <v>11611.06</v>
      </c>
      <c r="R99" s="9">
        <v>511.74</v>
      </c>
      <c r="S99" s="9">
        <v>0.05</v>
      </c>
      <c r="T99" s="9">
        <v>121.54</v>
      </c>
      <c r="U99">
        <f t="shared" ref="U99:U130" si="8">R99-T99</f>
        <v>390.2</v>
      </c>
    </row>
    <row r="100" ht="15.75" customHeight="1" spans="1:21">
      <c r="A100" t="s">
        <v>52</v>
      </c>
      <c r="B100" t="s">
        <v>69</v>
      </c>
      <c r="C100" t="s">
        <v>14</v>
      </c>
      <c r="D100" t="s">
        <v>7</v>
      </c>
      <c r="E100">
        <v>1054.56</v>
      </c>
      <c r="F100">
        <v>11</v>
      </c>
      <c r="G100">
        <v>0.1</v>
      </c>
      <c r="H100" s="1">
        <v>45669</v>
      </c>
      <c r="I100">
        <v>332.19</v>
      </c>
      <c r="J100" s="5">
        <f t="shared" si="7"/>
        <v>11611.06</v>
      </c>
      <c r="R100" s="8">
        <v>1054.56</v>
      </c>
      <c r="S100" s="8">
        <v>0.1</v>
      </c>
      <c r="T100" s="8">
        <v>332.19</v>
      </c>
      <c r="U100">
        <f t="shared" si="8"/>
        <v>722.37</v>
      </c>
    </row>
    <row r="101" ht="15.75" customHeight="1" spans="1:21">
      <c r="A101" t="s">
        <v>52</v>
      </c>
      <c r="B101" t="s">
        <v>51</v>
      </c>
      <c r="C101" t="s">
        <v>12</v>
      </c>
      <c r="D101" t="s">
        <v>6</v>
      </c>
      <c r="E101">
        <v>1681.21</v>
      </c>
      <c r="F101">
        <v>5</v>
      </c>
      <c r="G101">
        <v>0.2</v>
      </c>
      <c r="H101" s="1">
        <v>45670</v>
      </c>
      <c r="I101">
        <v>336.24</v>
      </c>
      <c r="J101" s="5">
        <f t="shared" si="7"/>
        <v>11611.06</v>
      </c>
      <c r="R101" s="9">
        <v>1681.21</v>
      </c>
      <c r="S101" s="9">
        <v>0.2</v>
      </c>
      <c r="T101" s="9">
        <v>336.24</v>
      </c>
      <c r="U101">
        <f t="shared" si="8"/>
        <v>1344.97</v>
      </c>
    </row>
    <row r="102" ht="15.75" customHeight="1" spans="1:21">
      <c r="A102" t="s">
        <v>52</v>
      </c>
      <c r="B102" t="s">
        <v>80</v>
      </c>
      <c r="C102" t="s">
        <v>11</v>
      </c>
      <c r="D102" t="s">
        <v>5</v>
      </c>
      <c r="E102">
        <v>379.77</v>
      </c>
      <c r="F102">
        <v>9</v>
      </c>
      <c r="G102">
        <v>0.05</v>
      </c>
      <c r="H102" s="1">
        <v>45673</v>
      </c>
      <c r="I102">
        <v>180.39</v>
      </c>
      <c r="J102" s="5">
        <f t="shared" si="7"/>
        <v>11611.06</v>
      </c>
      <c r="R102" s="8">
        <v>379.77</v>
      </c>
      <c r="S102" s="8">
        <v>0.05</v>
      </c>
      <c r="T102" s="8">
        <v>180.39</v>
      </c>
      <c r="U102">
        <f t="shared" si="8"/>
        <v>199.38</v>
      </c>
    </row>
    <row r="103" ht="15.75" customHeight="1" spans="1:21">
      <c r="A103" t="s">
        <v>52</v>
      </c>
      <c r="B103" t="s">
        <v>27</v>
      </c>
      <c r="C103" t="s">
        <v>15</v>
      </c>
      <c r="D103" t="s">
        <v>4</v>
      </c>
      <c r="E103">
        <v>1098.08</v>
      </c>
      <c r="F103">
        <v>9</v>
      </c>
      <c r="G103">
        <v>0.1</v>
      </c>
      <c r="H103" s="1">
        <v>45692</v>
      </c>
      <c r="I103">
        <v>395.31</v>
      </c>
      <c r="J103" s="5">
        <f t="shared" si="7"/>
        <v>11611.06</v>
      </c>
      <c r="R103" s="9">
        <v>1098.08</v>
      </c>
      <c r="S103" s="9">
        <v>0.1</v>
      </c>
      <c r="T103" s="9">
        <v>395.31</v>
      </c>
      <c r="U103">
        <f t="shared" si="8"/>
        <v>702.77</v>
      </c>
    </row>
    <row r="104" ht="15.75" customHeight="1" spans="1:21">
      <c r="A104" t="s">
        <v>52</v>
      </c>
      <c r="B104" t="s">
        <v>31</v>
      </c>
      <c r="C104" t="s">
        <v>11</v>
      </c>
      <c r="D104" t="s">
        <v>8</v>
      </c>
      <c r="E104">
        <v>545.44</v>
      </c>
      <c r="F104">
        <v>17</v>
      </c>
      <c r="G104">
        <v>0</v>
      </c>
      <c r="H104" s="1">
        <v>45752</v>
      </c>
      <c r="I104">
        <v>245.45</v>
      </c>
      <c r="J104" s="5">
        <f t="shared" si="7"/>
        <v>11611.06</v>
      </c>
      <c r="R104" s="8">
        <v>545.44</v>
      </c>
      <c r="S104" s="8">
        <v>0</v>
      </c>
      <c r="T104" s="8">
        <v>245.45</v>
      </c>
      <c r="U104">
        <f t="shared" si="8"/>
        <v>299.99</v>
      </c>
    </row>
    <row r="105" ht="15.75" customHeight="1" spans="1:21">
      <c r="A105" t="s">
        <v>53</v>
      </c>
      <c r="B105" t="s">
        <v>43</v>
      </c>
      <c r="C105" t="s">
        <v>15</v>
      </c>
      <c r="D105" t="s">
        <v>4</v>
      </c>
      <c r="E105">
        <v>580.43</v>
      </c>
      <c r="F105">
        <v>19</v>
      </c>
      <c r="G105">
        <v>0.15</v>
      </c>
      <c r="H105" s="1">
        <v>45435</v>
      </c>
      <c r="I105">
        <v>197.35</v>
      </c>
      <c r="J105" s="5">
        <f t="shared" si="7"/>
        <v>3369.17</v>
      </c>
      <c r="R105" s="9">
        <v>580.43</v>
      </c>
      <c r="S105" s="9">
        <v>0.15</v>
      </c>
      <c r="T105" s="9">
        <v>197.35</v>
      </c>
      <c r="U105">
        <f t="shared" si="8"/>
        <v>383.08</v>
      </c>
    </row>
    <row r="106" ht="15.75" customHeight="1" spans="1:21">
      <c r="A106" t="s">
        <v>53</v>
      </c>
      <c r="B106" t="s">
        <v>33</v>
      </c>
      <c r="C106" t="s">
        <v>12</v>
      </c>
      <c r="D106" t="s">
        <v>5</v>
      </c>
      <c r="E106">
        <v>990.19</v>
      </c>
      <c r="F106">
        <v>8</v>
      </c>
      <c r="G106">
        <v>0.1</v>
      </c>
      <c r="H106" s="1">
        <v>45565</v>
      </c>
      <c r="I106">
        <v>445.59</v>
      </c>
      <c r="J106" s="5">
        <f t="shared" si="7"/>
        <v>3369.17</v>
      </c>
      <c r="R106" s="8">
        <v>990.19</v>
      </c>
      <c r="S106" s="8">
        <v>0.1</v>
      </c>
      <c r="T106" s="8">
        <v>445.59</v>
      </c>
      <c r="U106">
        <f t="shared" si="8"/>
        <v>544.6</v>
      </c>
    </row>
    <row r="107" ht="15.75" customHeight="1" spans="1:21">
      <c r="A107" t="s">
        <v>53</v>
      </c>
      <c r="B107" t="s">
        <v>63</v>
      </c>
      <c r="C107" t="s">
        <v>14</v>
      </c>
      <c r="D107" t="s">
        <v>5</v>
      </c>
      <c r="E107">
        <v>870.23</v>
      </c>
      <c r="F107">
        <v>5</v>
      </c>
      <c r="G107">
        <v>0.05</v>
      </c>
      <c r="H107" s="1">
        <v>45660</v>
      </c>
      <c r="I107">
        <v>413.36</v>
      </c>
      <c r="J107" s="5">
        <f t="shared" si="7"/>
        <v>3369.17</v>
      </c>
      <c r="R107" s="9">
        <v>870.23</v>
      </c>
      <c r="S107" s="9">
        <v>0.05</v>
      </c>
      <c r="T107" s="9">
        <v>413.36</v>
      </c>
      <c r="U107">
        <f t="shared" si="8"/>
        <v>456.87</v>
      </c>
    </row>
    <row r="108" ht="15.75" customHeight="1" spans="1:21">
      <c r="A108" t="s">
        <v>53</v>
      </c>
      <c r="B108" t="s">
        <v>80</v>
      </c>
      <c r="C108" t="s">
        <v>14</v>
      </c>
      <c r="D108" t="s">
        <v>5</v>
      </c>
      <c r="E108">
        <v>928.32</v>
      </c>
      <c r="F108">
        <v>2</v>
      </c>
      <c r="G108">
        <v>0.05</v>
      </c>
      <c r="H108" s="1">
        <v>45754</v>
      </c>
      <c r="I108">
        <v>440.95</v>
      </c>
      <c r="J108" s="5">
        <f t="shared" si="7"/>
        <v>3369.17</v>
      </c>
      <c r="R108" s="8">
        <v>928.32</v>
      </c>
      <c r="S108" s="8">
        <v>0.05</v>
      </c>
      <c r="T108" s="8">
        <v>440.95</v>
      </c>
      <c r="U108">
        <f t="shared" si="8"/>
        <v>487.37</v>
      </c>
    </row>
    <row r="109" ht="15.75" customHeight="1" spans="1:21">
      <c r="A109" t="s">
        <v>54</v>
      </c>
      <c r="B109" t="s">
        <v>63</v>
      </c>
      <c r="C109" t="s">
        <v>15</v>
      </c>
      <c r="D109" t="s">
        <v>4</v>
      </c>
      <c r="E109">
        <v>713.34</v>
      </c>
      <c r="F109">
        <v>17</v>
      </c>
      <c r="G109">
        <v>0</v>
      </c>
      <c r="H109" s="1">
        <v>45396</v>
      </c>
      <c r="I109">
        <v>285.34</v>
      </c>
      <c r="J109" s="5">
        <f t="shared" si="7"/>
        <v>3419.2</v>
      </c>
      <c r="R109" s="9">
        <v>713.34</v>
      </c>
      <c r="S109" s="9">
        <v>0</v>
      </c>
      <c r="T109" s="9">
        <v>285.34</v>
      </c>
      <c r="U109">
        <f t="shared" si="8"/>
        <v>428</v>
      </c>
    </row>
    <row r="110" ht="15.75" customHeight="1" spans="1:21">
      <c r="A110" t="s">
        <v>54</v>
      </c>
      <c r="B110" t="s">
        <v>81</v>
      </c>
      <c r="C110" t="s">
        <v>13</v>
      </c>
      <c r="D110" t="s">
        <v>6</v>
      </c>
      <c r="E110">
        <v>856.7</v>
      </c>
      <c r="F110">
        <v>2</v>
      </c>
      <c r="G110">
        <v>0</v>
      </c>
      <c r="H110" s="1">
        <v>45449</v>
      </c>
      <c r="I110">
        <v>214.18</v>
      </c>
      <c r="J110" s="5">
        <f t="shared" si="7"/>
        <v>3419.2</v>
      </c>
      <c r="R110" s="8">
        <v>856.7</v>
      </c>
      <c r="S110" s="8">
        <v>0</v>
      </c>
      <c r="T110" s="8">
        <v>214.18</v>
      </c>
      <c r="U110">
        <f t="shared" si="8"/>
        <v>642.52</v>
      </c>
    </row>
    <row r="111" ht="15.75" customHeight="1" spans="1:21">
      <c r="A111" t="s">
        <v>54</v>
      </c>
      <c r="B111" t="s">
        <v>61</v>
      </c>
      <c r="C111" t="s">
        <v>11</v>
      </c>
      <c r="D111" t="s">
        <v>8</v>
      </c>
      <c r="E111">
        <v>826.93</v>
      </c>
      <c r="F111">
        <v>10</v>
      </c>
      <c r="G111">
        <v>0.2</v>
      </c>
      <c r="H111" s="1">
        <v>45564</v>
      </c>
      <c r="I111">
        <v>297.69</v>
      </c>
      <c r="J111" s="5">
        <f t="shared" si="7"/>
        <v>3419.2</v>
      </c>
      <c r="R111" s="9">
        <v>826.93</v>
      </c>
      <c r="S111" s="9">
        <v>0.2</v>
      </c>
      <c r="T111" s="9">
        <v>297.69</v>
      </c>
      <c r="U111">
        <f t="shared" si="8"/>
        <v>529.24</v>
      </c>
    </row>
    <row r="112" ht="15.75" customHeight="1" spans="1:21">
      <c r="A112" t="s">
        <v>54</v>
      </c>
      <c r="B112" t="s">
        <v>39</v>
      </c>
      <c r="C112" t="s">
        <v>13</v>
      </c>
      <c r="D112" t="s">
        <v>5</v>
      </c>
      <c r="E112">
        <v>1022.23</v>
      </c>
      <c r="F112">
        <v>8</v>
      </c>
      <c r="G112">
        <v>0.1</v>
      </c>
      <c r="H112" s="1">
        <v>45717</v>
      </c>
      <c r="I112">
        <v>460</v>
      </c>
      <c r="J112" s="5">
        <f t="shared" si="7"/>
        <v>3419.2</v>
      </c>
      <c r="R112" s="8">
        <v>1022.23</v>
      </c>
      <c r="S112" s="8">
        <v>0.1</v>
      </c>
      <c r="T112" s="8">
        <v>460</v>
      </c>
      <c r="U112">
        <f t="shared" si="8"/>
        <v>562.23</v>
      </c>
    </row>
    <row r="113" ht="15.75" customHeight="1" spans="1:21">
      <c r="A113" t="s">
        <v>55</v>
      </c>
      <c r="B113" t="s">
        <v>28</v>
      </c>
      <c r="C113" t="s">
        <v>14</v>
      </c>
      <c r="D113" t="s">
        <v>4</v>
      </c>
      <c r="E113">
        <v>966.3</v>
      </c>
      <c r="F113">
        <v>2</v>
      </c>
      <c r="G113">
        <v>0.15</v>
      </c>
      <c r="H113" s="1">
        <v>45557</v>
      </c>
      <c r="I113">
        <v>328.54</v>
      </c>
      <c r="J113" s="5">
        <f t="shared" si="7"/>
        <v>4951.89</v>
      </c>
      <c r="R113" s="9">
        <v>966.3</v>
      </c>
      <c r="S113" s="9">
        <v>0.15</v>
      </c>
      <c r="T113" s="9">
        <v>328.54</v>
      </c>
      <c r="U113">
        <f t="shared" si="8"/>
        <v>637.76</v>
      </c>
    </row>
    <row r="114" ht="15.75" customHeight="1" spans="1:21">
      <c r="A114" t="s">
        <v>55</v>
      </c>
      <c r="B114" t="s">
        <v>27</v>
      </c>
      <c r="C114" t="s">
        <v>14</v>
      </c>
      <c r="D114" t="s">
        <v>6</v>
      </c>
      <c r="E114">
        <v>1061.04</v>
      </c>
      <c r="F114">
        <v>1</v>
      </c>
      <c r="G114">
        <v>0</v>
      </c>
      <c r="H114" s="1">
        <v>45624</v>
      </c>
      <c r="I114">
        <v>265.26</v>
      </c>
      <c r="J114" s="5">
        <f t="shared" si="7"/>
        <v>4951.89</v>
      </c>
      <c r="R114" s="8">
        <v>1061.04</v>
      </c>
      <c r="S114" s="8">
        <v>0</v>
      </c>
      <c r="T114" s="8">
        <v>265.26</v>
      </c>
      <c r="U114">
        <f t="shared" si="8"/>
        <v>795.78</v>
      </c>
    </row>
    <row r="115" ht="15.75" customHeight="1" spans="1:21">
      <c r="A115" t="s">
        <v>55</v>
      </c>
      <c r="B115" t="s">
        <v>37</v>
      </c>
      <c r="C115" t="s">
        <v>12</v>
      </c>
      <c r="D115" t="s">
        <v>4</v>
      </c>
      <c r="E115">
        <v>640.64</v>
      </c>
      <c r="F115">
        <v>11</v>
      </c>
      <c r="G115">
        <v>0.2</v>
      </c>
      <c r="H115" s="1">
        <v>45678</v>
      </c>
      <c r="I115">
        <v>205</v>
      </c>
      <c r="J115" s="5">
        <f t="shared" si="7"/>
        <v>4951.89</v>
      </c>
      <c r="R115" s="9">
        <v>640.64</v>
      </c>
      <c r="S115" s="9">
        <v>0.2</v>
      </c>
      <c r="T115" s="9">
        <v>205</v>
      </c>
      <c r="U115">
        <f t="shared" si="8"/>
        <v>435.64</v>
      </c>
    </row>
    <row r="116" ht="15.75" customHeight="1" spans="1:21">
      <c r="A116" t="s">
        <v>55</v>
      </c>
      <c r="B116" t="s">
        <v>39</v>
      </c>
      <c r="C116" t="s">
        <v>13</v>
      </c>
      <c r="D116" t="s">
        <v>5</v>
      </c>
      <c r="E116">
        <v>826.97</v>
      </c>
      <c r="F116">
        <v>18</v>
      </c>
      <c r="G116">
        <v>0.2</v>
      </c>
      <c r="H116" s="1">
        <v>45715</v>
      </c>
      <c r="I116">
        <v>330.79</v>
      </c>
      <c r="J116" s="5">
        <f t="shared" si="7"/>
        <v>4951.89</v>
      </c>
      <c r="R116" s="8">
        <v>826.97</v>
      </c>
      <c r="S116" s="8">
        <v>0.2</v>
      </c>
      <c r="T116" s="8">
        <v>330.79</v>
      </c>
      <c r="U116">
        <f t="shared" si="8"/>
        <v>496.18</v>
      </c>
    </row>
    <row r="117" ht="15.75" customHeight="1" spans="1:21">
      <c r="A117" t="s">
        <v>55</v>
      </c>
      <c r="B117" t="s">
        <v>35</v>
      </c>
      <c r="C117" t="s">
        <v>13</v>
      </c>
      <c r="D117" t="s">
        <v>5</v>
      </c>
      <c r="E117">
        <v>1456.94</v>
      </c>
      <c r="F117">
        <v>14</v>
      </c>
      <c r="G117">
        <v>0.05</v>
      </c>
      <c r="H117" s="1">
        <v>45745</v>
      </c>
      <c r="I117">
        <v>692.05</v>
      </c>
      <c r="J117" s="5">
        <f t="shared" si="7"/>
        <v>4951.89</v>
      </c>
      <c r="R117" s="9">
        <v>1456.94</v>
      </c>
      <c r="S117" s="9">
        <v>0.05</v>
      </c>
      <c r="T117" s="9">
        <v>692.05</v>
      </c>
      <c r="U117">
        <f t="shared" si="8"/>
        <v>764.89</v>
      </c>
    </row>
    <row r="118" ht="15.75" customHeight="1" spans="1:21">
      <c r="A118" t="s">
        <v>57</v>
      </c>
      <c r="B118" t="s">
        <v>49</v>
      </c>
      <c r="C118" t="s">
        <v>11</v>
      </c>
      <c r="D118" t="s">
        <v>4</v>
      </c>
      <c r="E118">
        <v>1036.09</v>
      </c>
      <c r="F118">
        <v>4</v>
      </c>
      <c r="G118">
        <v>0.2</v>
      </c>
      <c r="H118" s="1">
        <v>45392</v>
      </c>
      <c r="I118">
        <v>331.55</v>
      </c>
      <c r="J118" s="5">
        <f t="shared" si="7"/>
        <v>4640.11</v>
      </c>
      <c r="R118" s="8">
        <v>1036.09</v>
      </c>
      <c r="S118" s="8">
        <v>0.2</v>
      </c>
      <c r="T118" s="8">
        <v>331.55</v>
      </c>
      <c r="U118">
        <f t="shared" si="8"/>
        <v>704.54</v>
      </c>
    </row>
    <row r="119" ht="15.75" customHeight="1" spans="1:21">
      <c r="A119" t="s">
        <v>57</v>
      </c>
      <c r="B119" t="s">
        <v>39</v>
      </c>
      <c r="C119" t="s">
        <v>11</v>
      </c>
      <c r="D119" t="s">
        <v>4</v>
      </c>
      <c r="E119">
        <v>743.17</v>
      </c>
      <c r="F119">
        <v>9</v>
      </c>
      <c r="G119">
        <v>0</v>
      </c>
      <c r="H119" s="1">
        <v>45416</v>
      </c>
      <c r="I119">
        <v>297.27</v>
      </c>
      <c r="J119" s="5">
        <f t="shared" si="7"/>
        <v>4640.11</v>
      </c>
      <c r="R119" s="9">
        <v>743.17</v>
      </c>
      <c r="S119" s="9">
        <v>0</v>
      </c>
      <c r="T119" s="9">
        <v>297.27</v>
      </c>
      <c r="U119">
        <f t="shared" si="8"/>
        <v>445.9</v>
      </c>
    </row>
    <row r="120" ht="15.75" customHeight="1" spans="1:21">
      <c r="A120" t="s">
        <v>57</v>
      </c>
      <c r="B120" t="s">
        <v>75</v>
      </c>
      <c r="C120" t="s">
        <v>15</v>
      </c>
      <c r="D120" t="s">
        <v>8</v>
      </c>
      <c r="E120">
        <v>840.92</v>
      </c>
      <c r="F120">
        <v>9</v>
      </c>
      <c r="G120">
        <v>0.05</v>
      </c>
      <c r="H120" s="1">
        <v>45429</v>
      </c>
      <c r="I120">
        <v>359.49</v>
      </c>
      <c r="J120" s="5">
        <f t="shared" si="7"/>
        <v>4640.11</v>
      </c>
      <c r="R120" s="8">
        <v>840.92</v>
      </c>
      <c r="S120" s="8">
        <v>0.05</v>
      </c>
      <c r="T120" s="8">
        <v>359.49</v>
      </c>
      <c r="U120">
        <f t="shared" si="8"/>
        <v>481.43</v>
      </c>
    </row>
    <row r="121" ht="15.75" customHeight="1" spans="1:21">
      <c r="A121" t="s">
        <v>57</v>
      </c>
      <c r="B121" t="s">
        <v>74</v>
      </c>
      <c r="C121" t="s">
        <v>13</v>
      </c>
      <c r="D121" t="s">
        <v>5</v>
      </c>
      <c r="E121">
        <v>1301.89</v>
      </c>
      <c r="F121">
        <v>7</v>
      </c>
      <c r="G121">
        <v>0.15</v>
      </c>
      <c r="H121" s="1">
        <v>45581</v>
      </c>
      <c r="I121">
        <v>553.3</v>
      </c>
      <c r="J121" s="5">
        <f t="shared" si="7"/>
        <v>4640.11</v>
      </c>
      <c r="R121" s="9">
        <v>1301.89</v>
      </c>
      <c r="S121" s="9">
        <v>0.15</v>
      </c>
      <c r="T121" s="9">
        <v>553.3</v>
      </c>
      <c r="U121">
        <f t="shared" si="8"/>
        <v>748.59</v>
      </c>
    </row>
    <row r="122" ht="15.75" customHeight="1" spans="1:21">
      <c r="A122" t="s">
        <v>57</v>
      </c>
      <c r="B122" t="s">
        <v>63</v>
      </c>
      <c r="C122" t="s">
        <v>14</v>
      </c>
      <c r="D122" t="s">
        <v>6</v>
      </c>
      <c r="E122">
        <v>718.04</v>
      </c>
      <c r="F122">
        <v>14</v>
      </c>
      <c r="G122">
        <v>0</v>
      </c>
      <c r="H122" s="1">
        <v>45613</v>
      </c>
      <c r="I122">
        <v>179.51</v>
      </c>
      <c r="J122" s="5">
        <f t="shared" si="7"/>
        <v>4640.11</v>
      </c>
      <c r="R122" s="8">
        <v>718.04</v>
      </c>
      <c r="S122" s="8">
        <v>0</v>
      </c>
      <c r="T122" s="8">
        <v>179.51</v>
      </c>
      <c r="U122">
        <f t="shared" si="8"/>
        <v>538.53</v>
      </c>
    </row>
    <row r="123" ht="15.75" customHeight="1" spans="1:21">
      <c r="A123" t="s">
        <v>58</v>
      </c>
      <c r="B123" t="s">
        <v>75</v>
      </c>
      <c r="C123" t="s">
        <v>11</v>
      </c>
      <c r="D123" t="s">
        <v>7</v>
      </c>
      <c r="E123">
        <v>1371.34</v>
      </c>
      <c r="F123">
        <v>5</v>
      </c>
      <c r="G123">
        <v>0.05</v>
      </c>
      <c r="H123" s="1">
        <v>45488</v>
      </c>
      <c r="I123">
        <v>455.97</v>
      </c>
      <c r="J123" s="5">
        <f t="shared" si="7"/>
        <v>4413.71</v>
      </c>
      <c r="R123" s="9">
        <v>1371.34</v>
      </c>
      <c r="S123" s="9">
        <v>0.05</v>
      </c>
      <c r="T123" s="9">
        <v>455.97</v>
      </c>
      <c r="U123">
        <f t="shared" si="8"/>
        <v>915.37</v>
      </c>
    </row>
    <row r="124" ht="15.75" customHeight="1" spans="1:21">
      <c r="A124" t="s">
        <v>58</v>
      </c>
      <c r="B124" t="s">
        <v>56</v>
      </c>
      <c r="C124" t="s">
        <v>14</v>
      </c>
      <c r="D124" t="s">
        <v>8</v>
      </c>
      <c r="E124">
        <v>981.2</v>
      </c>
      <c r="F124">
        <v>19</v>
      </c>
      <c r="G124">
        <v>0</v>
      </c>
      <c r="H124" s="1">
        <v>45504</v>
      </c>
      <c r="I124">
        <v>441.54</v>
      </c>
      <c r="J124" s="5">
        <f t="shared" si="7"/>
        <v>4413.71</v>
      </c>
      <c r="R124" s="8">
        <v>981.2</v>
      </c>
      <c r="S124" s="8">
        <v>0</v>
      </c>
      <c r="T124" s="8">
        <v>441.54</v>
      </c>
      <c r="U124">
        <f t="shared" si="8"/>
        <v>539.66</v>
      </c>
    </row>
    <row r="125" ht="15.75" customHeight="1" spans="1:21">
      <c r="A125" t="s">
        <v>58</v>
      </c>
      <c r="B125" t="s">
        <v>74</v>
      </c>
      <c r="C125" t="s">
        <v>15</v>
      </c>
      <c r="D125" t="s">
        <v>7</v>
      </c>
      <c r="E125">
        <v>1143.69</v>
      </c>
      <c r="F125">
        <v>17</v>
      </c>
      <c r="G125">
        <v>0</v>
      </c>
      <c r="H125" s="1">
        <v>45534</v>
      </c>
      <c r="I125">
        <v>400.29</v>
      </c>
      <c r="J125" s="5">
        <f t="shared" si="7"/>
        <v>4413.71</v>
      </c>
      <c r="R125" s="9">
        <v>1143.69</v>
      </c>
      <c r="S125" s="9">
        <v>0</v>
      </c>
      <c r="T125" s="9">
        <v>400.29</v>
      </c>
      <c r="U125">
        <f t="shared" si="8"/>
        <v>743.4</v>
      </c>
    </row>
    <row r="126" ht="15.75" customHeight="1" spans="1:21">
      <c r="A126" t="s">
        <v>58</v>
      </c>
      <c r="B126" t="s">
        <v>63</v>
      </c>
      <c r="C126" t="s">
        <v>14</v>
      </c>
      <c r="D126" t="s">
        <v>4</v>
      </c>
      <c r="E126">
        <v>917.48</v>
      </c>
      <c r="F126">
        <v>6</v>
      </c>
      <c r="G126">
        <v>0</v>
      </c>
      <c r="H126" s="1">
        <v>45558</v>
      </c>
      <c r="I126">
        <v>366.99</v>
      </c>
      <c r="J126" s="5">
        <f t="shared" si="7"/>
        <v>4413.71</v>
      </c>
      <c r="R126" s="8">
        <v>917.48</v>
      </c>
      <c r="S126" s="8">
        <v>0</v>
      </c>
      <c r="T126" s="8">
        <v>366.99</v>
      </c>
      <c r="U126">
        <f t="shared" si="8"/>
        <v>550.49</v>
      </c>
    </row>
    <row r="127" ht="15.75" customHeight="1" spans="1:21">
      <c r="A127" t="s">
        <v>59</v>
      </c>
      <c r="B127" t="s">
        <v>31</v>
      </c>
      <c r="C127" t="s">
        <v>14</v>
      </c>
      <c r="D127" t="s">
        <v>6</v>
      </c>
      <c r="E127">
        <v>967.89</v>
      </c>
      <c r="F127">
        <v>10</v>
      </c>
      <c r="G127">
        <v>0.1</v>
      </c>
      <c r="H127" s="1">
        <v>45429</v>
      </c>
      <c r="I127">
        <v>217.78</v>
      </c>
      <c r="J127" s="5">
        <f t="shared" si="7"/>
        <v>8740.18</v>
      </c>
      <c r="R127" s="9">
        <v>967.89</v>
      </c>
      <c r="S127" s="9">
        <v>0.1</v>
      </c>
      <c r="T127" s="9">
        <v>217.78</v>
      </c>
      <c r="U127">
        <f t="shared" si="8"/>
        <v>750.11</v>
      </c>
    </row>
    <row r="128" ht="15.75" customHeight="1" spans="1:21">
      <c r="A128" t="s">
        <v>59</v>
      </c>
      <c r="B128" t="s">
        <v>51</v>
      </c>
      <c r="C128" t="s">
        <v>13</v>
      </c>
      <c r="D128" t="s">
        <v>4</v>
      </c>
      <c r="E128">
        <v>840.85</v>
      </c>
      <c r="F128">
        <v>19</v>
      </c>
      <c r="G128">
        <v>0.1</v>
      </c>
      <c r="H128" s="1">
        <v>45448</v>
      </c>
      <c r="I128">
        <v>302.71</v>
      </c>
      <c r="J128" s="5">
        <f t="shared" si="7"/>
        <v>8740.18</v>
      </c>
      <c r="R128" s="8">
        <v>840.85</v>
      </c>
      <c r="S128" s="8">
        <v>0.1</v>
      </c>
      <c r="T128" s="8">
        <v>302.71</v>
      </c>
      <c r="U128">
        <f t="shared" si="8"/>
        <v>538.14</v>
      </c>
    </row>
    <row r="129" ht="15.75" customHeight="1" spans="1:21">
      <c r="A129" t="s">
        <v>59</v>
      </c>
      <c r="B129" t="s">
        <v>33</v>
      </c>
      <c r="C129" t="s">
        <v>15</v>
      </c>
      <c r="D129" t="s">
        <v>7</v>
      </c>
      <c r="E129">
        <v>1186.85</v>
      </c>
      <c r="F129">
        <v>19</v>
      </c>
      <c r="G129">
        <v>0.2</v>
      </c>
      <c r="H129" s="1">
        <v>45451</v>
      </c>
      <c r="I129">
        <v>332.32</v>
      </c>
      <c r="J129" s="5">
        <f t="shared" si="7"/>
        <v>8740.18</v>
      </c>
      <c r="R129" s="9">
        <v>1186.85</v>
      </c>
      <c r="S129" s="9">
        <v>0.2</v>
      </c>
      <c r="T129" s="9">
        <v>332.32</v>
      </c>
      <c r="U129">
        <f t="shared" si="8"/>
        <v>854.53</v>
      </c>
    </row>
    <row r="130" ht="15.75" customHeight="1" spans="1:21">
      <c r="A130" t="s">
        <v>59</v>
      </c>
      <c r="B130" t="s">
        <v>39</v>
      </c>
      <c r="C130" t="s">
        <v>15</v>
      </c>
      <c r="D130" t="s">
        <v>4</v>
      </c>
      <c r="E130">
        <v>1383.3</v>
      </c>
      <c r="F130">
        <v>8</v>
      </c>
      <c r="G130">
        <v>0.1</v>
      </c>
      <c r="H130" s="1">
        <v>45478</v>
      </c>
      <c r="I130">
        <v>497.99</v>
      </c>
      <c r="J130" s="5">
        <f t="shared" ref="J130:J161" si="9">SUMIF($A$2:$A$201,A130,$E$2:$E$201)</f>
        <v>8740.18</v>
      </c>
      <c r="R130" s="8">
        <v>1383.3</v>
      </c>
      <c r="S130" s="8">
        <v>0.1</v>
      </c>
      <c r="T130" s="8">
        <v>497.99</v>
      </c>
      <c r="U130">
        <f t="shared" si="8"/>
        <v>885.31</v>
      </c>
    </row>
    <row r="131" ht="15.75" customHeight="1" spans="1:21">
      <c r="A131" t="s">
        <v>59</v>
      </c>
      <c r="B131" t="s">
        <v>28</v>
      </c>
      <c r="C131" t="s">
        <v>12</v>
      </c>
      <c r="D131" t="s">
        <v>6</v>
      </c>
      <c r="E131">
        <v>1020.26</v>
      </c>
      <c r="F131">
        <v>11</v>
      </c>
      <c r="G131">
        <v>0.05</v>
      </c>
      <c r="H131" s="1">
        <v>45494</v>
      </c>
      <c r="I131">
        <v>242.31</v>
      </c>
      <c r="J131" s="5">
        <f t="shared" si="9"/>
        <v>8740.18</v>
      </c>
      <c r="R131" s="9">
        <v>1020.26</v>
      </c>
      <c r="S131" s="9">
        <v>0.05</v>
      </c>
      <c r="T131" s="9">
        <v>242.31</v>
      </c>
      <c r="U131">
        <f t="shared" ref="U131:U162" si="10">R131-T131</f>
        <v>777.95</v>
      </c>
    </row>
    <row r="132" ht="15.75" customHeight="1" spans="1:21">
      <c r="A132" t="s">
        <v>59</v>
      </c>
      <c r="B132" t="s">
        <v>51</v>
      </c>
      <c r="C132" t="s">
        <v>12</v>
      </c>
      <c r="D132" t="s">
        <v>5</v>
      </c>
      <c r="E132">
        <v>1205.82</v>
      </c>
      <c r="F132">
        <v>11</v>
      </c>
      <c r="G132">
        <v>0.1</v>
      </c>
      <c r="H132" s="1">
        <v>45559</v>
      </c>
      <c r="I132">
        <v>542.62</v>
      </c>
      <c r="J132" s="5">
        <f t="shared" si="9"/>
        <v>8740.18</v>
      </c>
      <c r="R132" s="8">
        <v>1205.82</v>
      </c>
      <c r="S132" s="8">
        <v>0.1</v>
      </c>
      <c r="T132" s="8">
        <v>542.62</v>
      </c>
      <c r="U132">
        <f t="shared" si="10"/>
        <v>663.2</v>
      </c>
    </row>
    <row r="133" ht="15.75" customHeight="1" spans="1:21">
      <c r="A133" t="s">
        <v>59</v>
      </c>
      <c r="B133" t="s">
        <v>47</v>
      </c>
      <c r="C133" t="s">
        <v>13</v>
      </c>
      <c r="D133" t="s">
        <v>4</v>
      </c>
      <c r="E133">
        <v>1150.28</v>
      </c>
      <c r="F133">
        <v>8</v>
      </c>
      <c r="G133">
        <v>0.05</v>
      </c>
      <c r="H133" s="1">
        <v>45622</v>
      </c>
      <c r="I133">
        <v>437.11</v>
      </c>
      <c r="J133" s="5">
        <f t="shared" si="9"/>
        <v>8740.18</v>
      </c>
      <c r="R133" s="9">
        <v>1150.28</v>
      </c>
      <c r="S133" s="9">
        <v>0.05</v>
      </c>
      <c r="T133" s="9">
        <v>437.11</v>
      </c>
      <c r="U133">
        <f t="shared" si="10"/>
        <v>713.17</v>
      </c>
    </row>
    <row r="134" ht="15.75" customHeight="1" spans="1:21">
      <c r="A134" t="s">
        <v>59</v>
      </c>
      <c r="B134" t="s">
        <v>75</v>
      </c>
      <c r="C134" t="s">
        <v>11</v>
      </c>
      <c r="D134" t="s">
        <v>7</v>
      </c>
      <c r="E134">
        <v>984.93</v>
      </c>
      <c r="F134">
        <v>14</v>
      </c>
      <c r="G134">
        <v>0.2</v>
      </c>
      <c r="H134" s="1">
        <v>45733</v>
      </c>
      <c r="I134">
        <v>275.78</v>
      </c>
      <c r="J134" s="5">
        <f t="shared" si="9"/>
        <v>8740.18</v>
      </c>
      <c r="R134" s="8">
        <v>984.93</v>
      </c>
      <c r="S134" s="8">
        <v>0.2</v>
      </c>
      <c r="T134" s="8">
        <v>275.78</v>
      </c>
      <c r="U134">
        <f t="shared" si="10"/>
        <v>709.15</v>
      </c>
    </row>
    <row r="135" ht="15.75" customHeight="1" spans="1:21">
      <c r="A135" t="s">
        <v>60</v>
      </c>
      <c r="B135" t="s">
        <v>69</v>
      </c>
      <c r="C135" t="s">
        <v>12</v>
      </c>
      <c r="D135" t="s">
        <v>6</v>
      </c>
      <c r="E135">
        <v>388.56</v>
      </c>
      <c r="F135">
        <v>14</v>
      </c>
      <c r="G135">
        <v>0.15</v>
      </c>
      <c r="H135" s="1">
        <v>45416</v>
      </c>
      <c r="I135">
        <v>82.57</v>
      </c>
      <c r="J135" s="5">
        <f t="shared" si="9"/>
        <v>4418.28</v>
      </c>
      <c r="R135" s="9">
        <v>388.56</v>
      </c>
      <c r="S135" s="9">
        <v>0.15</v>
      </c>
      <c r="T135" s="9">
        <v>82.57</v>
      </c>
      <c r="U135">
        <f t="shared" si="10"/>
        <v>305.99</v>
      </c>
    </row>
    <row r="136" ht="15.75" customHeight="1" spans="1:21">
      <c r="A136" t="s">
        <v>60</v>
      </c>
      <c r="B136" t="s">
        <v>79</v>
      </c>
      <c r="C136" t="s">
        <v>13</v>
      </c>
      <c r="D136" t="s">
        <v>4</v>
      </c>
      <c r="E136">
        <v>1023.21</v>
      </c>
      <c r="F136">
        <v>18</v>
      </c>
      <c r="G136">
        <v>0.05</v>
      </c>
      <c r="H136" s="1">
        <v>45428</v>
      </c>
      <c r="I136">
        <v>388.82</v>
      </c>
      <c r="J136" s="5">
        <f t="shared" si="9"/>
        <v>4418.28</v>
      </c>
      <c r="R136" s="8">
        <v>1023.21</v>
      </c>
      <c r="S136" s="8">
        <v>0.05</v>
      </c>
      <c r="T136" s="8">
        <v>388.82</v>
      </c>
      <c r="U136">
        <f t="shared" si="10"/>
        <v>634.39</v>
      </c>
    </row>
    <row r="137" ht="15.75" customHeight="1" spans="1:21">
      <c r="A137" t="s">
        <v>60</v>
      </c>
      <c r="B137" t="s">
        <v>41</v>
      </c>
      <c r="C137" t="s">
        <v>14</v>
      </c>
      <c r="D137" t="s">
        <v>4</v>
      </c>
      <c r="E137">
        <v>1264.49</v>
      </c>
      <c r="F137">
        <v>16</v>
      </c>
      <c r="G137">
        <v>0.05</v>
      </c>
      <c r="H137" s="1">
        <v>45549</v>
      </c>
      <c r="I137">
        <v>480.51</v>
      </c>
      <c r="J137" s="5">
        <f t="shared" si="9"/>
        <v>4418.28</v>
      </c>
      <c r="R137" s="9">
        <v>1264.49</v>
      </c>
      <c r="S137" s="9">
        <v>0.05</v>
      </c>
      <c r="T137" s="9">
        <v>480.51</v>
      </c>
      <c r="U137">
        <f t="shared" si="10"/>
        <v>783.98</v>
      </c>
    </row>
    <row r="138" ht="15.75" customHeight="1" spans="1:21">
      <c r="A138" t="s">
        <v>60</v>
      </c>
      <c r="B138" t="s">
        <v>27</v>
      </c>
      <c r="C138" t="s">
        <v>13</v>
      </c>
      <c r="D138" t="s">
        <v>8</v>
      </c>
      <c r="E138">
        <v>388.23</v>
      </c>
      <c r="F138">
        <v>16</v>
      </c>
      <c r="G138">
        <v>0.05</v>
      </c>
      <c r="H138" s="1">
        <v>45650</v>
      </c>
      <c r="I138">
        <v>165.97</v>
      </c>
      <c r="J138" s="5">
        <f t="shared" si="9"/>
        <v>4418.28</v>
      </c>
      <c r="R138" s="8">
        <v>388.23</v>
      </c>
      <c r="S138" s="8">
        <v>0.05</v>
      </c>
      <c r="T138" s="8">
        <v>165.97</v>
      </c>
      <c r="U138">
        <f t="shared" si="10"/>
        <v>222.26</v>
      </c>
    </row>
    <row r="139" ht="15.75" customHeight="1" spans="1:21">
      <c r="A139" t="s">
        <v>60</v>
      </c>
      <c r="B139" t="s">
        <v>51</v>
      </c>
      <c r="C139" t="s">
        <v>11</v>
      </c>
      <c r="D139" t="s">
        <v>4</v>
      </c>
      <c r="E139">
        <v>1353.79</v>
      </c>
      <c r="F139">
        <v>14</v>
      </c>
      <c r="G139">
        <v>0.1</v>
      </c>
      <c r="H139" s="1">
        <v>45656</v>
      </c>
      <c r="I139">
        <v>487.36</v>
      </c>
      <c r="J139" s="5">
        <f t="shared" si="9"/>
        <v>4418.28</v>
      </c>
      <c r="R139" s="9">
        <v>1353.79</v>
      </c>
      <c r="S139" s="9">
        <v>0.1</v>
      </c>
      <c r="T139" s="9">
        <v>487.36</v>
      </c>
      <c r="U139">
        <f t="shared" si="10"/>
        <v>866.43</v>
      </c>
    </row>
    <row r="140" ht="15.75" customHeight="1" spans="1:21">
      <c r="A140" t="s">
        <v>62</v>
      </c>
      <c r="B140" t="s">
        <v>69</v>
      </c>
      <c r="C140" t="s">
        <v>11</v>
      </c>
      <c r="D140" t="s">
        <v>7</v>
      </c>
      <c r="E140">
        <v>822.28</v>
      </c>
      <c r="F140">
        <v>7</v>
      </c>
      <c r="G140">
        <v>0.05</v>
      </c>
      <c r="H140" s="1">
        <v>45406</v>
      </c>
      <c r="I140">
        <v>273.41</v>
      </c>
      <c r="J140" s="5">
        <f t="shared" si="9"/>
        <v>5913.68</v>
      </c>
      <c r="R140" s="8">
        <v>822.28</v>
      </c>
      <c r="S140" s="8">
        <v>0.05</v>
      </c>
      <c r="T140" s="8">
        <v>273.41</v>
      </c>
      <c r="U140">
        <f t="shared" si="10"/>
        <v>548.87</v>
      </c>
    </row>
    <row r="141" ht="15.75" customHeight="1" spans="1:21">
      <c r="A141" t="s">
        <v>62</v>
      </c>
      <c r="B141" t="s">
        <v>39</v>
      </c>
      <c r="C141" t="s">
        <v>13</v>
      </c>
      <c r="D141" t="s">
        <v>6</v>
      </c>
      <c r="E141">
        <v>706.37</v>
      </c>
      <c r="F141">
        <v>6</v>
      </c>
      <c r="G141">
        <v>0</v>
      </c>
      <c r="H141" s="1">
        <v>45416</v>
      </c>
      <c r="I141">
        <v>176.59</v>
      </c>
      <c r="J141" s="5">
        <f t="shared" si="9"/>
        <v>5913.68</v>
      </c>
      <c r="R141" s="9">
        <v>706.37</v>
      </c>
      <c r="S141" s="9">
        <v>0</v>
      </c>
      <c r="T141" s="9">
        <v>176.59</v>
      </c>
      <c r="U141">
        <f t="shared" si="10"/>
        <v>529.78</v>
      </c>
    </row>
    <row r="142" ht="15.75" customHeight="1" spans="1:21">
      <c r="A142" t="s">
        <v>62</v>
      </c>
      <c r="B142" t="s">
        <v>79</v>
      </c>
      <c r="C142" t="s">
        <v>15</v>
      </c>
      <c r="D142" t="s">
        <v>8</v>
      </c>
      <c r="E142">
        <v>556.42</v>
      </c>
      <c r="F142">
        <v>11</v>
      </c>
      <c r="G142">
        <v>0.15</v>
      </c>
      <c r="H142" s="1">
        <v>45447</v>
      </c>
      <c r="I142">
        <v>212.83</v>
      </c>
      <c r="J142" s="5">
        <f t="shared" si="9"/>
        <v>5913.68</v>
      </c>
      <c r="R142" s="8">
        <v>556.42</v>
      </c>
      <c r="S142" s="8">
        <v>0.15</v>
      </c>
      <c r="T142" s="8">
        <v>212.83</v>
      </c>
      <c r="U142">
        <f t="shared" si="10"/>
        <v>343.59</v>
      </c>
    </row>
    <row r="143" ht="15.75" customHeight="1" spans="1:21">
      <c r="A143" t="s">
        <v>62</v>
      </c>
      <c r="B143" t="s">
        <v>75</v>
      </c>
      <c r="C143" t="s">
        <v>15</v>
      </c>
      <c r="D143" t="s">
        <v>7</v>
      </c>
      <c r="E143">
        <v>873.7</v>
      </c>
      <c r="F143">
        <v>9</v>
      </c>
      <c r="G143">
        <v>0</v>
      </c>
      <c r="H143" s="1">
        <v>45546</v>
      </c>
      <c r="I143">
        <v>305.8</v>
      </c>
      <c r="J143" s="5">
        <f t="shared" si="9"/>
        <v>5913.68</v>
      </c>
      <c r="R143" s="9">
        <v>873.7</v>
      </c>
      <c r="S143" s="9">
        <v>0</v>
      </c>
      <c r="T143" s="9">
        <v>305.8</v>
      </c>
      <c r="U143">
        <f t="shared" si="10"/>
        <v>567.9</v>
      </c>
    </row>
    <row r="144" ht="15.75" customHeight="1" spans="1:21">
      <c r="A144" t="s">
        <v>62</v>
      </c>
      <c r="B144" t="s">
        <v>51</v>
      </c>
      <c r="C144" t="s">
        <v>15</v>
      </c>
      <c r="D144" t="s">
        <v>8</v>
      </c>
      <c r="E144">
        <v>1154.33</v>
      </c>
      <c r="F144">
        <v>11</v>
      </c>
      <c r="G144">
        <v>0.15</v>
      </c>
      <c r="H144" s="1">
        <v>45549</v>
      </c>
      <c r="I144">
        <v>441.53</v>
      </c>
      <c r="J144" s="5">
        <f t="shared" si="9"/>
        <v>5913.68</v>
      </c>
      <c r="R144" s="8">
        <v>1154.33</v>
      </c>
      <c r="S144" s="8">
        <v>0.15</v>
      </c>
      <c r="T144" s="8">
        <v>441.53</v>
      </c>
      <c r="U144">
        <f t="shared" si="10"/>
        <v>712.8</v>
      </c>
    </row>
    <row r="145" ht="15.75" customHeight="1" spans="1:21">
      <c r="A145" t="s">
        <v>62</v>
      </c>
      <c r="B145" t="s">
        <v>63</v>
      </c>
      <c r="C145" t="s">
        <v>14</v>
      </c>
      <c r="D145" t="s">
        <v>5</v>
      </c>
      <c r="E145">
        <v>1118.34</v>
      </c>
      <c r="F145">
        <v>6</v>
      </c>
      <c r="G145">
        <v>0.2</v>
      </c>
      <c r="H145" s="1">
        <v>45674</v>
      </c>
      <c r="I145">
        <v>447.34</v>
      </c>
      <c r="J145" s="5">
        <f t="shared" si="9"/>
        <v>5913.68</v>
      </c>
      <c r="R145" s="9">
        <v>1118.34</v>
      </c>
      <c r="S145" s="9">
        <v>0.2</v>
      </c>
      <c r="T145" s="9">
        <v>447.34</v>
      </c>
      <c r="U145">
        <f t="shared" si="10"/>
        <v>671</v>
      </c>
    </row>
    <row r="146" ht="15.75" customHeight="1" spans="1:21">
      <c r="A146" t="s">
        <v>62</v>
      </c>
      <c r="B146" t="s">
        <v>77</v>
      </c>
      <c r="C146" t="s">
        <v>14</v>
      </c>
      <c r="D146" t="s">
        <v>5</v>
      </c>
      <c r="E146">
        <v>682.24</v>
      </c>
      <c r="F146">
        <v>1</v>
      </c>
      <c r="G146">
        <v>0</v>
      </c>
      <c r="H146" s="1">
        <v>45738</v>
      </c>
      <c r="I146">
        <v>341.12</v>
      </c>
      <c r="J146" s="5">
        <f t="shared" si="9"/>
        <v>5913.68</v>
      </c>
      <c r="R146" s="8">
        <v>682.24</v>
      </c>
      <c r="S146" s="8">
        <v>0</v>
      </c>
      <c r="T146" s="8">
        <v>341.12</v>
      </c>
      <c r="U146">
        <f t="shared" si="10"/>
        <v>341.12</v>
      </c>
    </row>
    <row r="147" ht="15.75" customHeight="1" spans="1:21">
      <c r="A147" t="s">
        <v>64</v>
      </c>
      <c r="B147" t="s">
        <v>75</v>
      </c>
      <c r="C147" t="s">
        <v>15</v>
      </c>
      <c r="D147" t="s">
        <v>6</v>
      </c>
      <c r="E147">
        <v>539.77</v>
      </c>
      <c r="F147">
        <v>10</v>
      </c>
      <c r="G147">
        <v>0.15</v>
      </c>
      <c r="H147" s="1">
        <v>45509</v>
      </c>
      <c r="I147">
        <v>114.7</v>
      </c>
      <c r="J147" s="5">
        <f t="shared" si="9"/>
        <v>7583.13</v>
      </c>
      <c r="R147" s="9">
        <v>539.77</v>
      </c>
      <c r="S147" s="9">
        <v>0.15</v>
      </c>
      <c r="T147" s="9">
        <v>114.7</v>
      </c>
      <c r="U147">
        <f t="shared" si="10"/>
        <v>425.07</v>
      </c>
    </row>
    <row r="148" ht="15.75" customHeight="1" spans="1:21">
      <c r="A148" t="s">
        <v>64</v>
      </c>
      <c r="B148" t="s">
        <v>47</v>
      </c>
      <c r="C148" t="s">
        <v>11</v>
      </c>
      <c r="D148" t="s">
        <v>6</v>
      </c>
      <c r="E148">
        <v>1526.6</v>
      </c>
      <c r="F148">
        <v>13</v>
      </c>
      <c r="G148">
        <v>0.2</v>
      </c>
      <c r="H148" s="1">
        <v>45512</v>
      </c>
      <c r="I148">
        <v>305.32</v>
      </c>
      <c r="J148" s="5">
        <f t="shared" si="9"/>
        <v>7583.13</v>
      </c>
      <c r="R148" s="8">
        <v>1526.6</v>
      </c>
      <c r="S148" s="8">
        <v>0.2</v>
      </c>
      <c r="T148" s="8">
        <v>305.32</v>
      </c>
      <c r="U148">
        <f t="shared" si="10"/>
        <v>1221.28</v>
      </c>
    </row>
    <row r="149" ht="15.75" customHeight="1" spans="1:21">
      <c r="A149" t="s">
        <v>64</v>
      </c>
      <c r="B149" t="s">
        <v>76</v>
      </c>
      <c r="C149" t="s">
        <v>15</v>
      </c>
      <c r="D149" t="s">
        <v>4</v>
      </c>
      <c r="E149">
        <v>980.18</v>
      </c>
      <c r="F149">
        <v>16</v>
      </c>
      <c r="G149">
        <v>0.1</v>
      </c>
      <c r="H149" s="1">
        <v>45582</v>
      </c>
      <c r="I149">
        <v>352.86</v>
      </c>
      <c r="J149" s="5">
        <f t="shared" si="9"/>
        <v>7583.13</v>
      </c>
      <c r="R149" s="9">
        <v>980.18</v>
      </c>
      <c r="S149" s="9">
        <v>0.1</v>
      </c>
      <c r="T149" s="9">
        <v>352.86</v>
      </c>
      <c r="U149">
        <f t="shared" si="10"/>
        <v>627.32</v>
      </c>
    </row>
    <row r="150" ht="15.75" customHeight="1" spans="1:21">
      <c r="A150" t="s">
        <v>64</v>
      </c>
      <c r="B150" t="s">
        <v>51</v>
      </c>
      <c r="C150" t="s">
        <v>12</v>
      </c>
      <c r="D150" t="s">
        <v>6</v>
      </c>
      <c r="E150">
        <v>706.73</v>
      </c>
      <c r="F150">
        <v>1</v>
      </c>
      <c r="G150">
        <v>0.15</v>
      </c>
      <c r="H150" s="1">
        <v>45613</v>
      </c>
      <c r="I150">
        <v>150.18</v>
      </c>
      <c r="J150" s="5">
        <f t="shared" si="9"/>
        <v>7583.13</v>
      </c>
      <c r="R150" s="8">
        <v>706.73</v>
      </c>
      <c r="S150" s="8">
        <v>0.15</v>
      </c>
      <c r="T150" s="8">
        <v>150.18</v>
      </c>
      <c r="U150">
        <f t="shared" si="10"/>
        <v>556.55</v>
      </c>
    </row>
    <row r="151" ht="15.75" customHeight="1" spans="1:21">
      <c r="A151" t="s">
        <v>64</v>
      </c>
      <c r="B151" t="s">
        <v>73</v>
      </c>
      <c r="C151" t="s">
        <v>12</v>
      </c>
      <c r="D151" t="s">
        <v>5</v>
      </c>
      <c r="E151">
        <v>1622.62</v>
      </c>
      <c r="F151">
        <v>12</v>
      </c>
      <c r="G151">
        <v>0.2</v>
      </c>
      <c r="H151" s="1">
        <v>45677</v>
      </c>
      <c r="I151">
        <v>649.05</v>
      </c>
      <c r="J151" s="5">
        <f t="shared" si="9"/>
        <v>7583.13</v>
      </c>
      <c r="R151" s="9">
        <v>1622.62</v>
      </c>
      <c r="S151" s="9">
        <v>0.2</v>
      </c>
      <c r="T151" s="9">
        <v>649.05</v>
      </c>
      <c r="U151">
        <f t="shared" si="10"/>
        <v>973.57</v>
      </c>
    </row>
    <row r="152" ht="15.75" customHeight="1" spans="1:21">
      <c r="A152" t="s">
        <v>64</v>
      </c>
      <c r="B152" t="s">
        <v>26</v>
      </c>
      <c r="C152" t="s">
        <v>13</v>
      </c>
      <c r="D152" t="s">
        <v>5</v>
      </c>
      <c r="E152">
        <v>741.88</v>
      </c>
      <c r="F152">
        <v>16</v>
      </c>
      <c r="G152">
        <v>0.1</v>
      </c>
      <c r="H152" s="1">
        <v>45695</v>
      </c>
      <c r="I152">
        <v>333.85</v>
      </c>
      <c r="J152" s="5">
        <f t="shared" si="9"/>
        <v>7583.13</v>
      </c>
      <c r="R152" s="8">
        <v>741.88</v>
      </c>
      <c r="S152" s="8">
        <v>0.1</v>
      </c>
      <c r="T152" s="8">
        <v>333.85</v>
      </c>
      <c r="U152">
        <f t="shared" si="10"/>
        <v>408.03</v>
      </c>
    </row>
    <row r="153" ht="15.75" customHeight="1" spans="1:21">
      <c r="A153" t="s">
        <v>64</v>
      </c>
      <c r="B153" t="s">
        <v>80</v>
      </c>
      <c r="C153" t="s">
        <v>13</v>
      </c>
      <c r="D153" t="s">
        <v>5</v>
      </c>
      <c r="E153">
        <v>1465.35</v>
      </c>
      <c r="F153">
        <v>8</v>
      </c>
      <c r="G153">
        <v>0.2</v>
      </c>
      <c r="H153" s="1">
        <v>45746</v>
      </c>
      <c r="I153">
        <v>586.14</v>
      </c>
      <c r="J153" s="5">
        <f t="shared" si="9"/>
        <v>7583.13</v>
      </c>
      <c r="R153" s="9">
        <v>1465.35</v>
      </c>
      <c r="S153" s="9">
        <v>0.2</v>
      </c>
      <c r="T153" s="9">
        <v>586.14</v>
      </c>
      <c r="U153">
        <f t="shared" si="10"/>
        <v>879.21</v>
      </c>
    </row>
    <row r="154" ht="15.75" customHeight="1" spans="1:21">
      <c r="A154" t="s">
        <v>65</v>
      </c>
      <c r="B154" t="s">
        <v>75</v>
      </c>
      <c r="C154" t="s">
        <v>12</v>
      </c>
      <c r="D154" t="s">
        <v>6</v>
      </c>
      <c r="E154">
        <v>1450.71</v>
      </c>
      <c r="F154">
        <v>5</v>
      </c>
      <c r="G154">
        <v>0.1</v>
      </c>
      <c r="H154" s="1">
        <v>45427</v>
      </c>
      <c r="I154">
        <v>326.41</v>
      </c>
      <c r="J154" s="5">
        <f t="shared" si="9"/>
        <v>6716.52</v>
      </c>
      <c r="R154" s="8">
        <v>1450.71</v>
      </c>
      <c r="S154" s="8">
        <v>0.1</v>
      </c>
      <c r="T154" s="8">
        <v>326.41</v>
      </c>
      <c r="U154">
        <f t="shared" si="10"/>
        <v>1124.3</v>
      </c>
    </row>
    <row r="155" ht="15.75" customHeight="1" spans="1:21">
      <c r="A155" t="s">
        <v>65</v>
      </c>
      <c r="B155" t="s">
        <v>79</v>
      </c>
      <c r="C155" t="s">
        <v>13</v>
      </c>
      <c r="D155" t="s">
        <v>8</v>
      </c>
      <c r="E155">
        <v>1225.42</v>
      </c>
      <c r="F155">
        <v>8</v>
      </c>
      <c r="G155">
        <v>0.15</v>
      </c>
      <c r="H155" s="1">
        <v>45449</v>
      </c>
      <c r="I155">
        <v>468.72</v>
      </c>
      <c r="J155" s="5">
        <f t="shared" si="9"/>
        <v>6716.52</v>
      </c>
      <c r="R155" s="9">
        <v>1225.42</v>
      </c>
      <c r="S155" s="9">
        <v>0.15</v>
      </c>
      <c r="T155" s="9">
        <v>468.72</v>
      </c>
      <c r="U155">
        <f t="shared" si="10"/>
        <v>756.7</v>
      </c>
    </row>
    <row r="156" ht="15.75" customHeight="1" spans="1:21">
      <c r="A156" t="s">
        <v>65</v>
      </c>
      <c r="B156" t="s">
        <v>28</v>
      </c>
      <c r="C156" t="s">
        <v>15</v>
      </c>
      <c r="D156" t="s">
        <v>7</v>
      </c>
      <c r="E156">
        <v>1286.54</v>
      </c>
      <c r="F156">
        <v>8</v>
      </c>
      <c r="G156">
        <v>0</v>
      </c>
      <c r="H156" s="1">
        <v>45575</v>
      </c>
      <c r="I156">
        <v>450.29</v>
      </c>
      <c r="J156" s="5">
        <f t="shared" si="9"/>
        <v>6716.52</v>
      </c>
      <c r="R156" s="8">
        <v>1286.54</v>
      </c>
      <c r="S156" s="8">
        <v>0</v>
      </c>
      <c r="T156" s="8">
        <v>450.29</v>
      </c>
      <c r="U156">
        <f t="shared" si="10"/>
        <v>836.25</v>
      </c>
    </row>
    <row r="157" ht="15.75" customHeight="1" spans="1:21">
      <c r="A157" t="s">
        <v>65</v>
      </c>
      <c r="B157" t="s">
        <v>76</v>
      </c>
      <c r="C157" t="s">
        <v>13</v>
      </c>
      <c r="D157" t="s">
        <v>5</v>
      </c>
      <c r="E157">
        <v>728.71</v>
      </c>
      <c r="F157">
        <v>14</v>
      </c>
      <c r="G157">
        <v>0.1</v>
      </c>
      <c r="H157" s="1">
        <v>45581</v>
      </c>
      <c r="I157">
        <v>327.92</v>
      </c>
      <c r="J157" s="5">
        <f t="shared" si="9"/>
        <v>6716.52</v>
      </c>
      <c r="R157" s="9">
        <v>728.71</v>
      </c>
      <c r="S157" s="9">
        <v>0.1</v>
      </c>
      <c r="T157" s="9">
        <v>327.92</v>
      </c>
      <c r="U157">
        <f t="shared" si="10"/>
        <v>400.79</v>
      </c>
    </row>
    <row r="158" ht="15.75" customHeight="1" spans="1:21">
      <c r="A158" t="s">
        <v>65</v>
      </c>
      <c r="B158" t="s">
        <v>37</v>
      </c>
      <c r="C158" t="s">
        <v>15</v>
      </c>
      <c r="D158" t="s">
        <v>4</v>
      </c>
      <c r="E158">
        <v>1010.58</v>
      </c>
      <c r="F158">
        <v>2</v>
      </c>
      <c r="G158">
        <v>0.15</v>
      </c>
      <c r="H158" s="1">
        <v>45605</v>
      </c>
      <c r="I158">
        <v>343.6</v>
      </c>
      <c r="J158" s="5">
        <f t="shared" si="9"/>
        <v>6716.52</v>
      </c>
      <c r="R158" s="8">
        <v>1010.58</v>
      </c>
      <c r="S158" s="8">
        <v>0.15</v>
      </c>
      <c r="T158" s="8">
        <v>343.6</v>
      </c>
      <c r="U158">
        <f t="shared" si="10"/>
        <v>666.98</v>
      </c>
    </row>
    <row r="159" ht="15.75" customHeight="1" spans="1:21">
      <c r="A159" t="s">
        <v>65</v>
      </c>
      <c r="B159" t="s">
        <v>27</v>
      </c>
      <c r="C159" t="s">
        <v>15</v>
      </c>
      <c r="D159" t="s">
        <v>8</v>
      </c>
      <c r="E159">
        <v>1014.56</v>
      </c>
      <c r="F159">
        <v>10</v>
      </c>
      <c r="G159">
        <v>0.1</v>
      </c>
      <c r="H159" s="1">
        <v>45612</v>
      </c>
      <c r="I159">
        <v>410.9</v>
      </c>
      <c r="J159" s="5">
        <f t="shared" si="9"/>
        <v>6716.52</v>
      </c>
      <c r="R159" s="9">
        <v>1014.56</v>
      </c>
      <c r="S159" s="9">
        <v>0.1</v>
      </c>
      <c r="T159" s="9">
        <v>410.9</v>
      </c>
      <c r="U159">
        <f t="shared" si="10"/>
        <v>603.66</v>
      </c>
    </row>
    <row r="160" ht="15.75" customHeight="1" spans="1:21">
      <c r="A160" t="s">
        <v>66</v>
      </c>
      <c r="B160" t="s">
        <v>39</v>
      </c>
      <c r="C160" t="s">
        <v>15</v>
      </c>
      <c r="D160" t="s">
        <v>7</v>
      </c>
      <c r="E160">
        <v>1074.47</v>
      </c>
      <c r="F160">
        <v>6</v>
      </c>
      <c r="G160">
        <v>0.2</v>
      </c>
      <c r="H160" s="1">
        <v>45401</v>
      </c>
      <c r="I160">
        <v>300.85</v>
      </c>
      <c r="J160" s="5">
        <f t="shared" si="9"/>
        <v>9371.81</v>
      </c>
      <c r="R160" s="8">
        <v>1074.47</v>
      </c>
      <c r="S160" s="8">
        <v>0.2</v>
      </c>
      <c r="T160" s="8">
        <v>300.85</v>
      </c>
      <c r="U160">
        <f t="shared" si="10"/>
        <v>773.62</v>
      </c>
    </row>
    <row r="161" ht="15.75" customHeight="1" spans="1:21">
      <c r="A161" t="s">
        <v>66</v>
      </c>
      <c r="B161" t="s">
        <v>39</v>
      </c>
      <c r="C161" t="s">
        <v>13</v>
      </c>
      <c r="D161" t="s">
        <v>6</v>
      </c>
      <c r="E161">
        <v>645.02</v>
      </c>
      <c r="F161">
        <v>4</v>
      </c>
      <c r="G161">
        <v>0</v>
      </c>
      <c r="H161" s="1">
        <v>45414</v>
      </c>
      <c r="I161">
        <v>161.26</v>
      </c>
      <c r="J161" s="5">
        <f t="shared" si="9"/>
        <v>9371.81</v>
      </c>
      <c r="R161" s="9">
        <v>645.02</v>
      </c>
      <c r="S161" s="9">
        <v>0</v>
      </c>
      <c r="T161" s="9">
        <v>161.26</v>
      </c>
      <c r="U161">
        <f t="shared" si="10"/>
        <v>483.76</v>
      </c>
    </row>
    <row r="162" ht="15.75" customHeight="1" spans="1:21">
      <c r="A162" t="s">
        <v>66</v>
      </c>
      <c r="B162" t="s">
        <v>43</v>
      </c>
      <c r="C162" t="s">
        <v>12</v>
      </c>
      <c r="D162" t="s">
        <v>7</v>
      </c>
      <c r="E162">
        <v>1227.25</v>
      </c>
      <c r="F162">
        <v>12</v>
      </c>
      <c r="G162">
        <v>0.15</v>
      </c>
      <c r="H162" s="1">
        <v>45448</v>
      </c>
      <c r="I162">
        <v>365.11</v>
      </c>
      <c r="J162" s="5">
        <f t="shared" ref="J162:J201" si="11">SUMIF($A$2:$A$201,A162,$E$2:$E$201)</f>
        <v>9371.81</v>
      </c>
      <c r="R162" s="8">
        <v>1227.25</v>
      </c>
      <c r="S162" s="8">
        <v>0.15</v>
      </c>
      <c r="T162" s="8">
        <v>365.11</v>
      </c>
      <c r="U162">
        <f t="shared" si="10"/>
        <v>862.14</v>
      </c>
    </row>
    <row r="163" ht="15.75" customHeight="1" spans="1:21">
      <c r="A163" t="s">
        <v>66</v>
      </c>
      <c r="B163" t="s">
        <v>39</v>
      </c>
      <c r="C163" t="s">
        <v>15</v>
      </c>
      <c r="D163" t="s">
        <v>7</v>
      </c>
      <c r="E163">
        <v>933.71</v>
      </c>
      <c r="F163">
        <v>17</v>
      </c>
      <c r="G163">
        <v>0.1</v>
      </c>
      <c r="H163" s="1">
        <v>45481</v>
      </c>
      <c r="I163">
        <v>294.12</v>
      </c>
      <c r="J163" s="5">
        <f t="shared" si="11"/>
        <v>9371.81</v>
      </c>
      <c r="R163" s="9">
        <v>933.71</v>
      </c>
      <c r="S163" s="9">
        <v>0.1</v>
      </c>
      <c r="T163" s="9">
        <v>294.12</v>
      </c>
      <c r="U163">
        <f t="shared" ref="U163:U201" si="12">R163-T163</f>
        <v>639.59</v>
      </c>
    </row>
    <row r="164" ht="15.75" customHeight="1" spans="1:21">
      <c r="A164" t="s">
        <v>66</v>
      </c>
      <c r="B164" t="s">
        <v>26</v>
      </c>
      <c r="C164" t="s">
        <v>11</v>
      </c>
      <c r="D164" t="s">
        <v>8</v>
      </c>
      <c r="E164">
        <v>1111.34</v>
      </c>
      <c r="F164">
        <v>1</v>
      </c>
      <c r="G164">
        <v>0</v>
      </c>
      <c r="H164" s="1">
        <v>45523</v>
      </c>
      <c r="I164">
        <v>500.1</v>
      </c>
      <c r="J164" s="5">
        <f t="shared" si="11"/>
        <v>9371.81</v>
      </c>
      <c r="R164" s="8">
        <v>1111.34</v>
      </c>
      <c r="S164" s="8">
        <v>0</v>
      </c>
      <c r="T164" s="8">
        <v>500.1</v>
      </c>
      <c r="U164">
        <f t="shared" si="12"/>
        <v>611.24</v>
      </c>
    </row>
    <row r="165" ht="15.75" customHeight="1" spans="1:21">
      <c r="A165" t="s">
        <v>66</v>
      </c>
      <c r="B165" t="s">
        <v>77</v>
      </c>
      <c r="C165" t="s">
        <v>12</v>
      </c>
      <c r="D165" t="s">
        <v>7</v>
      </c>
      <c r="E165">
        <v>957.29</v>
      </c>
      <c r="F165">
        <v>4</v>
      </c>
      <c r="G165">
        <v>0.05</v>
      </c>
      <c r="H165" s="1">
        <v>45605</v>
      </c>
      <c r="I165">
        <v>318.3</v>
      </c>
      <c r="J165" s="5">
        <f t="shared" si="11"/>
        <v>9371.81</v>
      </c>
      <c r="R165" s="9">
        <v>957.29</v>
      </c>
      <c r="S165" s="9">
        <v>0.05</v>
      </c>
      <c r="T165" s="9">
        <v>318.3</v>
      </c>
      <c r="U165">
        <f t="shared" si="12"/>
        <v>638.99</v>
      </c>
    </row>
    <row r="166" ht="15.75" customHeight="1" spans="1:21">
      <c r="A166" t="s">
        <v>66</v>
      </c>
      <c r="B166" t="s">
        <v>76</v>
      </c>
      <c r="C166" t="s">
        <v>15</v>
      </c>
      <c r="D166" t="s">
        <v>4</v>
      </c>
      <c r="E166">
        <v>1231.26</v>
      </c>
      <c r="F166">
        <v>9</v>
      </c>
      <c r="G166">
        <v>0</v>
      </c>
      <c r="H166" s="1">
        <v>45646</v>
      </c>
      <c r="I166">
        <v>492.5</v>
      </c>
      <c r="J166" s="5">
        <f t="shared" si="11"/>
        <v>9371.81</v>
      </c>
      <c r="R166" s="8">
        <v>1231.26</v>
      </c>
      <c r="S166" s="8">
        <v>0</v>
      </c>
      <c r="T166" s="8">
        <v>492.5</v>
      </c>
      <c r="U166">
        <f t="shared" si="12"/>
        <v>738.76</v>
      </c>
    </row>
    <row r="167" ht="15.75" customHeight="1" spans="1:21">
      <c r="A167" t="s">
        <v>66</v>
      </c>
      <c r="B167" t="s">
        <v>31</v>
      </c>
      <c r="C167" t="s">
        <v>11</v>
      </c>
      <c r="D167" t="s">
        <v>6</v>
      </c>
      <c r="E167">
        <v>1161.67</v>
      </c>
      <c r="F167">
        <v>19</v>
      </c>
      <c r="G167">
        <v>0.2</v>
      </c>
      <c r="H167" s="1">
        <v>45647</v>
      </c>
      <c r="I167">
        <v>232.33</v>
      </c>
      <c r="J167" s="5">
        <f t="shared" si="11"/>
        <v>9371.81</v>
      </c>
      <c r="R167" s="9">
        <v>1161.67</v>
      </c>
      <c r="S167" s="9">
        <v>0.2</v>
      </c>
      <c r="T167" s="9">
        <v>232.33</v>
      </c>
      <c r="U167">
        <f t="shared" si="12"/>
        <v>929.34</v>
      </c>
    </row>
    <row r="168" ht="15.75" customHeight="1" spans="1:21">
      <c r="A168" t="s">
        <v>66</v>
      </c>
      <c r="B168" t="s">
        <v>75</v>
      </c>
      <c r="C168" t="s">
        <v>11</v>
      </c>
      <c r="D168" t="s">
        <v>6</v>
      </c>
      <c r="E168">
        <v>1029.8</v>
      </c>
      <c r="F168">
        <v>3</v>
      </c>
      <c r="G168">
        <v>0</v>
      </c>
      <c r="H168" s="1">
        <v>45708</v>
      </c>
      <c r="I168">
        <v>257.45</v>
      </c>
      <c r="J168" s="5">
        <f t="shared" si="11"/>
        <v>9371.81</v>
      </c>
      <c r="R168" s="8">
        <v>1029.8</v>
      </c>
      <c r="S168" s="8">
        <v>0</v>
      </c>
      <c r="T168" s="8">
        <v>257.45</v>
      </c>
      <c r="U168">
        <f t="shared" si="12"/>
        <v>772.35</v>
      </c>
    </row>
    <row r="169" ht="15.75" customHeight="1" spans="1:21">
      <c r="A169" t="s">
        <v>67</v>
      </c>
      <c r="B169" t="s">
        <v>47</v>
      </c>
      <c r="C169" t="s">
        <v>15</v>
      </c>
      <c r="D169" t="s">
        <v>8</v>
      </c>
      <c r="E169">
        <v>875.41</v>
      </c>
      <c r="F169">
        <v>13</v>
      </c>
      <c r="G169">
        <v>0.15</v>
      </c>
      <c r="H169" s="1">
        <v>45552</v>
      </c>
      <c r="I169">
        <v>334.84</v>
      </c>
      <c r="J169" s="5">
        <f t="shared" si="11"/>
        <v>3906.04</v>
      </c>
      <c r="R169" s="9">
        <v>875.41</v>
      </c>
      <c r="S169" s="9">
        <v>0.15</v>
      </c>
      <c r="T169" s="9">
        <v>334.84</v>
      </c>
      <c r="U169">
        <f t="shared" si="12"/>
        <v>540.57</v>
      </c>
    </row>
    <row r="170" ht="15.75" customHeight="1" spans="1:21">
      <c r="A170" t="s">
        <v>67</v>
      </c>
      <c r="B170" t="s">
        <v>47</v>
      </c>
      <c r="C170" t="s">
        <v>12</v>
      </c>
      <c r="D170" t="s">
        <v>4</v>
      </c>
      <c r="E170">
        <v>585.97</v>
      </c>
      <c r="F170">
        <v>17</v>
      </c>
      <c r="G170">
        <v>0.1</v>
      </c>
      <c r="H170" s="1">
        <v>45565</v>
      </c>
      <c r="I170">
        <v>210.95</v>
      </c>
      <c r="J170" s="5">
        <f t="shared" si="11"/>
        <v>3906.04</v>
      </c>
      <c r="R170" s="8">
        <v>585.97</v>
      </c>
      <c r="S170" s="8">
        <v>0.1</v>
      </c>
      <c r="T170" s="8">
        <v>210.95</v>
      </c>
      <c r="U170">
        <f t="shared" si="12"/>
        <v>375.02</v>
      </c>
    </row>
    <row r="171" ht="15.75" customHeight="1" spans="1:21">
      <c r="A171" t="s">
        <v>67</v>
      </c>
      <c r="B171" t="s">
        <v>51</v>
      </c>
      <c r="C171" t="s">
        <v>11</v>
      </c>
      <c r="D171" t="s">
        <v>5</v>
      </c>
      <c r="E171">
        <v>697.57</v>
      </c>
      <c r="F171">
        <v>17</v>
      </c>
      <c r="G171">
        <v>0.1</v>
      </c>
      <c r="H171" s="1">
        <v>45584</v>
      </c>
      <c r="I171">
        <v>313.91</v>
      </c>
      <c r="J171" s="5">
        <f t="shared" si="11"/>
        <v>3906.04</v>
      </c>
      <c r="R171" s="9">
        <v>697.57</v>
      </c>
      <c r="S171" s="9">
        <v>0.1</v>
      </c>
      <c r="T171" s="9">
        <v>313.91</v>
      </c>
      <c r="U171">
        <f t="shared" si="12"/>
        <v>383.66</v>
      </c>
    </row>
    <row r="172" ht="15.75" customHeight="1" spans="1:21">
      <c r="A172" t="s">
        <v>67</v>
      </c>
      <c r="B172" t="s">
        <v>51</v>
      </c>
      <c r="C172" t="s">
        <v>11</v>
      </c>
      <c r="D172" t="s">
        <v>6</v>
      </c>
      <c r="E172">
        <v>258.51</v>
      </c>
      <c r="F172">
        <v>19</v>
      </c>
      <c r="G172">
        <v>0</v>
      </c>
      <c r="H172" s="1">
        <v>45616</v>
      </c>
      <c r="I172">
        <v>64.63</v>
      </c>
      <c r="J172" s="5">
        <f t="shared" si="11"/>
        <v>3906.04</v>
      </c>
      <c r="R172" s="8">
        <v>258.51</v>
      </c>
      <c r="S172" s="8">
        <v>0</v>
      </c>
      <c r="T172" s="8">
        <v>64.63</v>
      </c>
      <c r="U172">
        <f t="shared" si="12"/>
        <v>193.88</v>
      </c>
    </row>
    <row r="173" ht="15.75" customHeight="1" spans="1:21">
      <c r="A173" t="s">
        <v>67</v>
      </c>
      <c r="B173" t="s">
        <v>26</v>
      </c>
      <c r="C173" t="s">
        <v>13</v>
      </c>
      <c r="D173" t="s">
        <v>6</v>
      </c>
      <c r="E173">
        <v>1488.58</v>
      </c>
      <c r="F173">
        <v>10</v>
      </c>
      <c r="G173">
        <v>0.15</v>
      </c>
      <c r="H173" s="1">
        <v>45640</v>
      </c>
      <c r="I173">
        <v>316.32</v>
      </c>
      <c r="J173" s="5">
        <f t="shared" si="11"/>
        <v>3906.04</v>
      </c>
      <c r="R173" s="9">
        <v>1488.58</v>
      </c>
      <c r="S173" s="9">
        <v>0.15</v>
      </c>
      <c r="T173" s="9">
        <v>316.32</v>
      </c>
      <c r="U173">
        <f t="shared" si="12"/>
        <v>1172.26</v>
      </c>
    </row>
    <row r="174" ht="15.75" customHeight="1" spans="1:21">
      <c r="A174" t="s">
        <v>68</v>
      </c>
      <c r="B174" t="s">
        <v>73</v>
      </c>
      <c r="C174" t="s">
        <v>15</v>
      </c>
      <c r="D174" t="s">
        <v>8</v>
      </c>
      <c r="E174">
        <v>983.34</v>
      </c>
      <c r="F174">
        <v>19</v>
      </c>
      <c r="G174">
        <v>0.1</v>
      </c>
      <c r="H174" s="1">
        <v>45426</v>
      </c>
      <c r="I174">
        <v>398.25</v>
      </c>
      <c r="J174" s="5">
        <f t="shared" si="11"/>
        <v>10293.87</v>
      </c>
      <c r="R174" s="8">
        <v>983.34</v>
      </c>
      <c r="S174" s="8">
        <v>0.1</v>
      </c>
      <c r="T174" s="8">
        <v>398.25</v>
      </c>
      <c r="U174">
        <f t="shared" si="12"/>
        <v>585.09</v>
      </c>
    </row>
    <row r="175" ht="15.75" customHeight="1" spans="1:21">
      <c r="A175" t="s">
        <v>68</v>
      </c>
      <c r="B175" t="s">
        <v>51</v>
      </c>
      <c r="C175" t="s">
        <v>14</v>
      </c>
      <c r="D175" t="s">
        <v>6</v>
      </c>
      <c r="E175">
        <v>801.21</v>
      </c>
      <c r="F175">
        <v>3</v>
      </c>
      <c r="G175">
        <v>0.2</v>
      </c>
      <c r="H175" s="1">
        <v>45426</v>
      </c>
      <c r="I175">
        <v>160.24</v>
      </c>
      <c r="J175" s="5">
        <f t="shared" si="11"/>
        <v>10293.87</v>
      </c>
      <c r="R175" s="9">
        <v>801.21</v>
      </c>
      <c r="S175" s="9">
        <v>0.2</v>
      </c>
      <c r="T175" s="9">
        <v>160.24</v>
      </c>
      <c r="U175">
        <f t="shared" si="12"/>
        <v>640.97</v>
      </c>
    </row>
    <row r="176" ht="15.75" customHeight="1" spans="1:21">
      <c r="A176" t="s">
        <v>68</v>
      </c>
      <c r="B176" t="s">
        <v>37</v>
      </c>
      <c r="C176" t="s">
        <v>13</v>
      </c>
      <c r="D176" t="s">
        <v>7</v>
      </c>
      <c r="E176">
        <v>1410.06</v>
      </c>
      <c r="F176">
        <v>11</v>
      </c>
      <c r="G176">
        <v>0.05</v>
      </c>
      <c r="H176" s="1">
        <v>45434</v>
      </c>
      <c r="I176">
        <v>468.84</v>
      </c>
      <c r="J176" s="5">
        <f t="shared" si="11"/>
        <v>10293.87</v>
      </c>
      <c r="R176" s="8">
        <v>1410.06</v>
      </c>
      <c r="S176" s="8">
        <v>0.05</v>
      </c>
      <c r="T176" s="8">
        <v>468.84</v>
      </c>
      <c r="U176">
        <f t="shared" si="12"/>
        <v>941.22</v>
      </c>
    </row>
    <row r="177" ht="15.75" customHeight="1" spans="1:21">
      <c r="A177" t="s">
        <v>68</v>
      </c>
      <c r="B177" t="s">
        <v>51</v>
      </c>
      <c r="C177" t="s">
        <v>13</v>
      </c>
      <c r="D177" t="s">
        <v>8</v>
      </c>
      <c r="E177">
        <v>1025.98</v>
      </c>
      <c r="F177">
        <v>5</v>
      </c>
      <c r="G177">
        <v>0.2</v>
      </c>
      <c r="H177" s="1">
        <v>45447</v>
      </c>
      <c r="I177">
        <v>369.35</v>
      </c>
      <c r="J177" s="5">
        <f t="shared" si="11"/>
        <v>10293.87</v>
      </c>
      <c r="R177" s="9">
        <v>1025.98</v>
      </c>
      <c r="S177" s="9">
        <v>0.2</v>
      </c>
      <c r="T177" s="9">
        <v>369.35</v>
      </c>
      <c r="U177">
        <f t="shared" si="12"/>
        <v>656.63</v>
      </c>
    </row>
    <row r="178" ht="15.75" customHeight="1" spans="1:21">
      <c r="A178" t="s">
        <v>68</v>
      </c>
      <c r="B178" t="s">
        <v>41</v>
      </c>
      <c r="C178" t="s">
        <v>13</v>
      </c>
      <c r="D178" t="s">
        <v>6</v>
      </c>
      <c r="E178">
        <v>790.08</v>
      </c>
      <c r="F178">
        <v>7</v>
      </c>
      <c r="G178">
        <v>0.1</v>
      </c>
      <c r="H178" s="1">
        <v>45536</v>
      </c>
      <c r="I178">
        <v>177.77</v>
      </c>
      <c r="J178" s="5">
        <f t="shared" si="11"/>
        <v>10293.87</v>
      </c>
      <c r="R178" s="8">
        <v>790.08</v>
      </c>
      <c r="S178" s="8">
        <v>0.1</v>
      </c>
      <c r="T178" s="8">
        <v>177.77</v>
      </c>
      <c r="U178">
        <f t="shared" si="12"/>
        <v>612.31</v>
      </c>
    </row>
    <row r="179" ht="15.75" customHeight="1" spans="1:21">
      <c r="A179" t="s">
        <v>68</v>
      </c>
      <c r="B179" t="s">
        <v>41</v>
      </c>
      <c r="C179" t="s">
        <v>14</v>
      </c>
      <c r="D179" t="s">
        <v>5</v>
      </c>
      <c r="E179">
        <v>1163.01</v>
      </c>
      <c r="F179">
        <v>5</v>
      </c>
      <c r="G179">
        <v>0</v>
      </c>
      <c r="H179" s="1">
        <v>45611</v>
      </c>
      <c r="I179">
        <v>581.5</v>
      </c>
      <c r="J179" s="5">
        <f t="shared" si="11"/>
        <v>10293.87</v>
      </c>
      <c r="R179" s="9">
        <v>1163.01</v>
      </c>
      <c r="S179" s="9">
        <v>0</v>
      </c>
      <c r="T179" s="9">
        <v>581.5</v>
      </c>
      <c r="U179">
        <f t="shared" si="12"/>
        <v>581.51</v>
      </c>
    </row>
    <row r="180" ht="15.75" customHeight="1" spans="1:21">
      <c r="A180" t="s">
        <v>68</v>
      </c>
      <c r="B180" t="s">
        <v>37</v>
      </c>
      <c r="C180" t="s">
        <v>12</v>
      </c>
      <c r="D180" t="s">
        <v>8</v>
      </c>
      <c r="E180">
        <v>309.42</v>
      </c>
      <c r="F180">
        <v>1</v>
      </c>
      <c r="G180">
        <v>0.2</v>
      </c>
      <c r="H180" s="1">
        <v>45658</v>
      </c>
      <c r="I180">
        <v>111.39</v>
      </c>
      <c r="J180" s="5">
        <f t="shared" si="11"/>
        <v>10293.87</v>
      </c>
      <c r="R180" s="8">
        <v>309.42</v>
      </c>
      <c r="S180" s="8">
        <v>0.2</v>
      </c>
      <c r="T180" s="8">
        <v>111.39</v>
      </c>
      <c r="U180">
        <f t="shared" si="12"/>
        <v>198.03</v>
      </c>
    </row>
    <row r="181" ht="15.75" customHeight="1" spans="1:21">
      <c r="A181" t="s">
        <v>68</v>
      </c>
      <c r="B181" t="s">
        <v>51</v>
      </c>
      <c r="C181" t="s">
        <v>13</v>
      </c>
      <c r="D181" t="s">
        <v>8</v>
      </c>
      <c r="E181">
        <v>745.05</v>
      </c>
      <c r="F181">
        <v>10</v>
      </c>
      <c r="G181">
        <v>0.1</v>
      </c>
      <c r="H181" s="1">
        <v>45660</v>
      </c>
      <c r="I181">
        <v>301.75</v>
      </c>
      <c r="J181" s="5">
        <f t="shared" si="11"/>
        <v>10293.87</v>
      </c>
      <c r="R181" s="9">
        <v>745.05</v>
      </c>
      <c r="S181" s="9">
        <v>0.1</v>
      </c>
      <c r="T181" s="9">
        <v>301.75</v>
      </c>
      <c r="U181">
        <f t="shared" si="12"/>
        <v>443.3</v>
      </c>
    </row>
    <row r="182" ht="15.75" customHeight="1" spans="1:21">
      <c r="A182" t="s">
        <v>68</v>
      </c>
      <c r="B182" t="s">
        <v>51</v>
      </c>
      <c r="C182" t="s">
        <v>11</v>
      </c>
      <c r="D182" t="s">
        <v>6</v>
      </c>
      <c r="E182">
        <v>1115.22</v>
      </c>
      <c r="F182">
        <v>14</v>
      </c>
      <c r="G182">
        <v>0.2</v>
      </c>
      <c r="H182" s="1">
        <v>45705</v>
      </c>
      <c r="I182">
        <v>223.04</v>
      </c>
      <c r="J182" s="5">
        <f t="shared" si="11"/>
        <v>10293.87</v>
      </c>
      <c r="R182" s="8">
        <v>1115.22</v>
      </c>
      <c r="S182" s="8">
        <v>0.2</v>
      </c>
      <c r="T182" s="8">
        <v>223.04</v>
      </c>
      <c r="U182">
        <f t="shared" si="12"/>
        <v>892.18</v>
      </c>
    </row>
    <row r="183" ht="15.75" customHeight="1" spans="1:21">
      <c r="A183" t="s">
        <v>68</v>
      </c>
      <c r="B183" t="s">
        <v>61</v>
      </c>
      <c r="C183" t="s">
        <v>12</v>
      </c>
      <c r="D183" t="s">
        <v>4</v>
      </c>
      <c r="E183">
        <v>710.52</v>
      </c>
      <c r="F183">
        <v>8</v>
      </c>
      <c r="G183">
        <v>0.1</v>
      </c>
      <c r="H183" s="1">
        <v>45721</v>
      </c>
      <c r="I183">
        <v>255.79</v>
      </c>
      <c r="J183" s="5">
        <f t="shared" si="11"/>
        <v>10293.87</v>
      </c>
      <c r="R183" s="9">
        <v>710.52</v>
      </c>
      <c r="S183" s="9">
        <v>0.1</v>
      </c>
      <c r="T183" s="9">
        <v>255.79</v>
      </c>
      <c r="U183">
        <f t="shared" si="12"/>
        <v>454.73</v>
      </c>
    </row>
    <row r="184" ht="15.75" customHeight="1" spans="1:21">
      <c r="A184" t="s">
        <v>68</v>
      </c>
      <c r="B184" t="s">
        <v>77</v>
      </c>
      <c r="C184" t="s">
        <v>12</v>
      </c>
      <c r="D184" t="s">
        <v>4</v>
      </c>
      <c r="E184">
        <v>499.18</v>
      </c>
      <c r="F184">
        <v>15</v>
      </c>
      <c r="G184">
        <v>0.2</v>
      </c>
      <c r="H184" s="1">
        <v>45724</v>
      </c>
      <c r="I184">
        <v>159.74</v>
      </c>
      <c r="J184" s="5">
        <f t="shared" si="11"/>
        <v>10293.87</v>
      </c>
      <c r="R184" s="8">
        <v>499.18</v>
      </c>
      <c r="S184" s="8">
        <v>0.2</v>
      </c>
      <c r="T184" s="8">
        <v>159.74</v>
      </c>
      <c r="U184">
        <f t="shared" si="12"/>
        <v>339.44</v>
      </c>
    </row>
    <row r="185" ht="15.75" customHeight="1" spans="1:21">
      <c r="A185" t="s">
        <v>68</v>
      </c>
      <c r="B185" t="s">
        <v>69</v>
      </c>
      <c r="C185" t="s">
        <v>14</v>
      </c>
      <c r="D185" t="s">
        <v>8</v>
      </c>
      <c r="E185">
        <v>740.8</v>
      </c>
      <c r="F185">
        <v>3</v>
      </c>
      <c r="G185">
        <v>0</v>
      </c>
      <c r="H185" s="1">
        <v>45749</v>
      </c>
      <c r="I185">
        <v>333.36</v>
      </c>
      <c r="J185" s="5">
        <f t="shared" si="11"/>
        <v>10293.87</v>
      </c>
      <c r="R185" s="9">
        <v>740.8</v>
      </c>
      <c r="S185" s="9">
        <v>0</v>
      </c>
      <c r="T185" s="9">
        <v>333.36</v>
      </c>
      <c r="U185">
        <f t="shared" si="12"/>
        <v>407.44</v>
      </c>
    </row>
    <row r="186" ht="15.75" customHeight="1" spans="1:21">
      <c r="A186" t="s">
        <v>70</v>
      </c>
      <c r="B186" t="s">
        <v>72</v>
      </c>
      <c r="C186" t="s">
        <v>12</v>
      </c>
      <c r="D186" t="s">
        <v>7</v>
      </c>
      <c r="E186">
        <v>521.67</v>
      </c>
      <c r="F186">
        <v>15</v>
      </c>
      <c r="G186">
        <v>0.15</v>
      </c>
      <c r="H186" s="1">
        <v>45409</v>
      </c>
      <c r="I186">
        <v>155.2</v>
      </c>
      <c r="J186" s="5">
        <f t="shared" si="11"/>
        <v>5779.05</v>
      </c>
      <c r="R186" s="8">
        <v>521.67</v>
      </c>
      <c r="S186" s="8">
        <v>0.15</v>
      </c>
      <c r="T186" s="8">
        <v>155.2</v>
      </c>
      <c r="U186">
        <f t="shared" si="12"/>
        <v>366.47</v>
      </c>
    </row>
    <row r="187" ht="15.75" customHeight="1" spans="1:21">
      <c r="A187" t="s">
        <v>70</v>
      </c>
      <c r="B187" t="s">
        <v>61</v>
      </c>
      <c r="C187" t="s">
        <v>12</v>
      </c>
      <c r="D187" t="s">
        <v>6</v>
      </c>
      <c r="E187">
        <v>741.61</v>
      </c>
      <c r="F187">
        <v>1</v>
      </c>
      <c r="G187">
        <v>0.2</v>
      </c>
      <c r="H187" s="1">
        <v>45471</v>
      </c>
      <c r="I187">
        <v>148.32</v>
      </c>
      <c r="J187" s="5">
        <f t="shared" si="11"/>
        <v>5779.05</v>
      </c>
      <c r="R187" s="9">
        <v>741.61</v>
      </c>
      <c r="S187" s="9">
        <v>0.2</v>
      </c>
      <c r="T187" s="9">
        <v>148.32</v>
      </c>
      <c r="U187">
        <f t="shared" si="12"/>
        <v>593.29</v>
      </c>
    </row>
    <row r="188" ht="15.75" customHeight="1" spans="1:21">
      <c r="A188" t="s">
        <v>70</v>
      </c>
      <c r="B188" t="s">
        <v>43</v>
      </c>
      <c r="C188" t="s">
        <v>14</v>
      </c>
      <c r="D188" t="s">
        <v>6</v>
      </c>
      <c r="E188">
        <v>1100.1</v>
      </c>
      <c r="F188">
        <v>5</v>
      </c>
      <c r="G188">
        <v>0.05</v>
      </c>
      <c r="H188" s="1">
        <v>45482</v>
      </c>
      <c r="I188">
        <v>261.27</v>
      </c>
      <c r="J188" s="5">
        <f t="shared" si="11"/>
        <v>5779.05</v>
      </c>
      <c r="R188" s="8">
        <v>1100.1</v>
      </c>
      <c r="S188" s="8">
        <v>0.05</v>
      </c>
      <c r="T188" s="8">
        <v>261.27</v>
      </c>
      <c r="U188">
        <f t="shared" si="12"/>
        <v>838.83</v>
      </c>
    </row>
    <row r="189" ht="15.75" customHeight="1" spans="1:21">
      <c r="A189" t="s">
        <v>70</v>
      </c>
      <c r="B189" t="s">
        <v>43</v>
      </c>
      <c r="C189" t="s">
        <v>11</v>
      </c>
      <c r="D189" t="s">
        <v>7</v>
      </c>
      <c r="E189">
        <v>1172.97</v>
      </c>
      <c r="F189">
        <v>7</v>
      </c>
      <c r="G189">
        <v>0.15</v>
      </c>
      <c r="H189" s="1">
        <v>45559</v>
      </c>
      <c r="I189">
        <v>348.96</v>
      </c>
      <c r="J189" s="5">
        <f t="shared" si="11"/>
        <v>5779.05</v>
      </c>
      <c r="R189" s="9">
        <v>1172.97</v>
      </c>
      <c r="S189" s="9">
        <v>0.15</v>
      </c>
      <c r="T189" s="9">
        <v>348.96</v>
      </c>
      <c r="U189">
        <f t="shared" si="12"/>
        <v>824.01</v>
      </c>
    </row>
    <row r="190" ht="15.75" customHeight="1" spans="1:21">
      <c r="A190" t="s">
        <v>70</v>
      </c>
      <c r="B190" t="s">
        <v>27</v>
      </c>
      <c r="C190" t="s">
        <v>15</v>
      </c>
      <c r="D190" t="s">
        <v>6</v>
      </c>
      <c r="E190">
        <v>919.18</v>
      </c>
      <c r="F190">
        <v>4</v>
      </c>
      <c r="G190">
        <v>0.15</v>
      </c>
      <c r="H190" s="1">
        <v>45615</v>
      </c>
      <c r="I190">
        <v>195.33</v>
      </c>
      <c r="J190" s="5">
        <f t="shared" si="11"/>
        <v>5779.05</v>
      </c>
      <c r="R190" s="8">
        <v>919.18</v>
      </c>
      <c r="S190" s="8">
        <v>0.15</v>
      </c>
      <c r="T190" s="8">
        <v>195.33</v>
      </c>
      <c r="U190">
        <f t="shared" si="12"/>
        <v>723.85</v>
      </c>
    </row>
    <row r="191" ht="15.75" customHeight="1" spans="1:21">
      <c r="A191" t="s">
        <v>70</v>
      </c>
      <c r="B191" t="s">
        <v>75</v>
      </c>
      <c r="C191" t="s">
        <v>11</v>
      </c>
      <c r="D191" t="s">
        <v>5</v>
      </c>
      <c r="E191">
        <v>864.98</v>
      </c>
      <c r="F191">
        <v>2</v>
      </c>
      <c r="G191">
        <v>0.05</v>
      </c>
      <c r="H191" s="1">
        <v>45727</v>
      </c>
      <c r="I191">
        <v>410.87</v>
      </c>
      <c r="J191" s="5">
        <f t="shared" si="11"/>
        <v>5779.05</v>
      </c>
      <c r="R191" s="9">
        <v>864.98</v>
      </c>
      <c r="S191" s="9">
        <v>0.05</v>
      </c>
      <c r="T191" s="9">
        <v>410.87</v>
      </c>
      <c r="U191">
        <f t="shared" si="12"/>
        <v>454.11</v>
      </c>
    </row>
    <row r="192" ht="15.75" customHeight="1" spans="1:21">
      <c r="A192" t="s">
        <v>70</v>
      </c>
      <c r="B192" t="s">
        <v>33</v>
      </c>
      <c r="C192" t="s">
        <v>12</v>
      </c>
      <c r="D192" t="s">
        <v>6</v>
      </c>
      <c r="E192">
        <v>458.54</v>
      </c>
      <c r="F192">
        <v>15</v>
      </c>
      <c r="G192">
        <v>0.2</v>
      </c>
      <c r="H192" s="1">
        <v>45741</v>
      </c>
      <c r="I192">
        <v>91.71</v>
      </c>
      <c r="J192" s="5">
        <f t="shared" si="11"/>
        <v>5779.05</v>
      </c>
      <c r="R192" s="8">
        <v>458.54</v>
      </c>
      <c r="S192" s="8">
        <v>0.2</v>
      </c>
      <c r="T192" s="8">
        <v>91.71</v>
      </c>
      <c r="U192">
        <f t="shared" si="12"/>
        <v>366.83</v>
      </c>
    </row>
    <row r="193" ht="15.75" customHeight="1" spans="1:21">
      <c r="A193" t="s">
        <v>71</v>
      </c>
      <c r="B193" t="s">
        <v>51</v>
      </c>
      <c r="C193" t="s">
        <v>12</v>
      </c>
      <c r="D193" t="s">
        <v>4</v>
      </c>
      <c r="E193">
        <v>847</v>
      </c>
      <c r="F193">
        <v>12</v>
      </c>
      <c r="G193">
        <v>0.2</v>
      </c>
      <c r="H193" s="1">
        <v>45397</v>
      </c>
      <c r="I193">
        <v>271.04</v>
      </c>
      <c r="J193" s="5">
        <f t="shared" si="11"/>
        <v>7928.71</v>
      </c>
      <c r="R193" s="9">
        <v>847</v>
      </c>
      <c r="S193" s="9">
        <v>0.2</v>
      </c>
      <c r="T193" s="9">
        <v>271.04</v>
      </c>
      <c r="U193">
        <f t="shared" si="12"/>
        <v>575.96</v>
      </c>
    </row>
    <row r="194" ht="15.75" customHeight="1" spans="1:21">
      <c r="A194" t="s">
        <v>71</v>
      </c>
      <c r="B194" t="s">
        <v>78</v>
      </c>
      <c r="C194" t="s">
        <v>12</v>
      </c>
      <c r="D194" t="s">
        <v>7</v>
      </c>
      <c r="E194">
        <v>675.54</v>
      </c>
      <c r="F194">
        <v>17</v>
      </c>
      <c r="G194">
        <v>0</v>
      </c>
      <c r="H194" s="1">
        <v>45420</v>
      </c>
      <c r="I194">
        <v>236.44</v>
      </c>
      <c r="J194" s="5">
        <f t="shared" si="11"/>
        <v>7928.71</v>
      </c>
      <c r="R194" s="8">
        <v>675.54</v>
      </c>
      <c r="S194" s="8">
        <v>0</v>
      </c>
      <c r="T194" s="8">
        <v>236.44</v>
      </c>
      <c r="U194">
        <f t="shared" si="12"/>
        <v>439.1</v>
      </c>
    </row>
    <row r="195" ht="15.75" customHeight="1" spans="1:21">
      <c r="A195" t="s">
        <v>71</v>
      </c>
      <c r="B195" t="s">
        <v>61</v>
      </c>
      <c r="C195" t="s">
        <v>14</v>
      </c>
      <c r="D195" t="s">
        <v>7</v>
      </c>
      <c r="E195">
        <v>1086.93</v>
      </c>
      <c r="F195">
        <v>2</v>
      </c>
      <c r="G195">
        <v>0</v>
      </c>
      <c r="H195" s="1">
        <v>45464</v>
      </c>
      <c r="I195">
        <v>380.43</v>
      </c>
      <c r="J195" s="5">
        <f t="shared" si="11"/>
        <v>7928.71</v>
      </c>
      <c r="R195" s="9">
        <v>1086.93</v>
      </c>
      <c r="S195" s="9">
        <v>0</v>
      </c>
      <c r="T195" s="9">
        <v>380.43</v>
      </c>
      <c r="U195">
        <f t="shared" si="12"/>
        <v>706.5</v>
      </c>
    </row>
    <row r="196" ht="15.75" customHeight="1" spans="1:21">
      <c r="A196" t="s">
        <v>71</v>
      </c>
      <c r="B196" t="s">
        <v>76</v>
      </c>
      <c r="C196" t="s">
        <v>13</v>
      </c>
      <c r="D196" t="s">
        <v>4</v>
      </c>
      <c r="E196">
        <v>973.26</v>
      </c>
      <c r="F196">
        <v>11</v>
      </c>
      <c r="G196">
        <v>0</v>
      </c>
      <c r="H196" s="1">
        <v>45470</v>
      </c>
      <c r="I196">
        <v>389.3</v>
      </c>
      <c r="J196" s="5">
        <f t="shared" si="11"/>
        <v>7928.71</v>
      </c>
      <c r="R196" s="8">
        <v>973.26</v>
      </c>
      <c r="S196" s="8">
        <v>0</v>
      </c>
      <c r="T196" s="8">
        <v>389.3</v>
      </c>
      <c r="U196">
        <f t="shared" si="12"/>
        <v>583.96</v>
      </c>
    </row>
    <row r="197" ht="15.75" customHeight="1" spans="1:21">
      <c r="A197" t="s">
        <v>71</v>
      </c>
      <c r="B197" t="s">
        <v>75</v>
      </c>
      <c r="C197" t="s">
        <v>13</v>
      </c>
      <c r="D197" t="s">
        <v>6</v>
      </c>
      <c r="E197">
        <v>608.66</v>
      </c>
      <c r="F197">
        <v>1</v>
      </c>
      <c r="G197">
        <v>0.05</v>
      </c>
      <c r="H197" s="1">
        <v>45503</v>
      </c>
      <c r="I197">
        <v>144.56</v>
      </c>
      <c r="J197" s="5">
        <f t="shared" si="11"/>
        <v>7928.71</v>
      </c>
      <c r="R197" s="9">
        <v>608.66</v>
      </c>
      <c r="S197" s="9">
        <v>0.05</v>
      </c>
      <c r="T197" s="9">
        <v>144.56</v>
      </c>
      <c r="U197">
        <f t="shared" si="12"/>
        <v>464.1</v>
      </c>
    </row>
    <row r="198" ht="15.75" customHeight="1" spans="1:21">
      <c r="A198" t="s">
        <v>71</v>
      </c>
      <c r="B198" t="s">
        <v>39</v>
      </c>
      <c r="C198" t="s">
        <v>15</v>
      </c>
      <c r="D198" t="s">
        <v>5</v>
      </c>
      <c r="E198">
        <v>1291.47</v>
      </c>
      <c r="F198">
        <v>18</v>
      </c>
      <c r="G198">
        <v>0.1</v>
      </c>
      <c r="H198" s="1">
        <v>45526</v>
      </c>
      <c r="I198">
        <v>581.16</v>
      </c>
      <c r="J198" s="5">
        <f t="shared" si="11"/>
        <v>7928.71</v>
      </c>
      <c r="R198" s="8">
        <v>1291.47</v>
      </c>
      <c r="S198" s="8">
        <v>0.1</v>
      </c>
      <c r="T198" s="8">
        <v>581.16</v>
      </c>
      <c r="U198">
        <f t="shared" si="12"/>
        <v>710.31</v>
      </c>
    </row>
    <row r="199" ht="15.75" customHeight="1" spans="1:21">
      <c r="A199" t="s">
        <v>71</v>
      </c>
      <c r="B199" t="s">
        <v>31</v>
      </c>
      <c r="C199" t="s">
        <v>11</v>
      </c>
      <c r="D199" t="s">
        <v>5</v>
      </c>
      <c r="E199">
        <v>585.16</v>
      </c>
      <c r="F199">
        <v>17</v>
      </c>
      <c r="G199">
        <v>0.1</v>
      </c>
      <c r="H199" s="1">
        <v>45684</v>
      </c>
      <c r="I199">
        <v>263.32</v>
      </c>
      <c r="J199" s="5">
        <f t="shared" si="11"/>
        <v>7928.71</v>
      </c>
      <c r="R199" s="9">
        <v>585.16</v>
      </c>
      <c r="S199" s="9">
        <v>0.1</v>
      </c>
      <c r="T199" s="9">
        <v>263.32</v>
      </c>
      <c r="U199">
        <f t="shared" si="12"/>
        <v>321.84</v>
      </c>
    </row>
    <row r="200" ht="15.75" customHeight="1" spans="1:21">
      <c r="A200" t="s">
        <v>71</v>
      </c>
      <c r="B200" t="s">
        <v>39</v>
      </c>
      <c r="C200" t="s">
        <v>15</v>
      </c>
      <c r="D200" t="s">
        <v>5</v>
      </c>
      <c r="E200">
        <v>1109.98</v>
      </c>
      <c r="F200">
        <v>5</v>
      </c>
      <c r="G200">
        <v>0.2</v>
      </c>
      <c r="H200" s="1">
        <v>45690</v>
      </c>
      <c r="I200">
        <v>443.99</v>
      </c>
      <c r="J200" s="5">
        <f t="shared" si="11"/>
        <v>7928.71</v>
      </c>
      <c r="R200" s="8">
        <v>1109.98</v>
      </c>
      <c r="S200" s="8">
        <v>0.2</v>
      </c>
      <c r="T200" s="8">
        <v>443.99</v>
      </c>
      <c r="U200">
        <f t="shared" si="12"/>
        <v>665.99</v>
      </c>
    </row>
    <row r="201" ht="15.75" customHeight="1" spans="1:21">
      <c r="A201" t="s">
        <v>71</v>
      </c>
      <c r="B201" t="s">
        <v>73</v>
      </c>
      <c r="C201" t="s">
        <v>12</v>
      </c>
      <c r="D201" t="s">
        <v>4</v>
      </c>
      <c r="E201">
        <v>750.71</v>
      </c>
      <c r="F201">
        <v>10</v>
      </c>
      <c r="G201">
        <v>0.15</v>
      </c>
      <c r="H201" s="1">
        <v>45743</v>
      </c>
      <c r="I201">
        <v>255.24</v>
      </c>
      <c r="J201" s="5">
        <f t="shared" si="11"/>
        <v>7928.71</v>
      </c>
      <c r="R201" s="10">
        <v>750.71</v>
      </c>
      <c r="S201" s="10">
        <v>0.15</v>
      </c>
      <c r="T201" s="10">
        <v>255.24</v>
      </c>
      <c r="U201">
        <f t="shared" si="12"/>
        <v>495.47</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P3:P32">
    <cfRule type="top10" dxfId="10" priority="1" rank="10"/>
  </conditionalFormatting>
  <pageMargins left="0.75" right="0.75" top="1" bottom="1" header="0" footer="0"/>
  <pageSetup paperSize="1" orientation="landscape"/>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abSelected="1" zoomScale="50" zoomScaleNormal="50" workbookViewId="0">
      <selection activeCell="A1" sqref="A1"/>
    </sheetView>
  </sheetViews>
  <sheetFormatPr defaultColWidth="8.88888888888889" defaultRowHeight="14.4"/>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Project Instructions</vt:lpstr>
      <vt:lpstr>Sales distribution </vt:lpstr>
      <vt:lpstr>Reginal Distribution</vt:lpstr>
      <vt:lpstr>Reginal Distribution (2)</vt:lpstr>
      <vt:lpstr>Dataset</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Dean rex</cp:lastModifiedBy>
  <dcterms:created xsi:type="dcterms:W3CDTF">2025-11-07T11:48:00Z</dcterms:created>
  <dcterms:modified xsi:type="dcterms:W3CDTF">2025-11-11T02:53:44Z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074ACF884BD5423AAB80898BEA4AB711_13</vt:lpwstr>
  </property>
  <property fmtid="{D5CDD505-2E9C-101B-9397-08002B2CF9AE}" pid="3" name="KSOProductBuildVer">
    <vt:lpwstr>1033-12.2.0.23155</vt:lpwstr>
  </property>
</Properties>
</file>